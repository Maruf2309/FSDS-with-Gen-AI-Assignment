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LD\Practice\FSDC\DataAnalytics-Excel\Assignment\"/>
    </mc:Choice>
  </mc:AlternateContent>
  <xr:revisionPtr revIDLastSave="0" documentId="13_ncr:1_{FCF9EEAB-9702-4068-A04B-9028EE114B07}" xr6:coauthVersionLast="47" xr6:coauthVersionMax="47" xr10:uidLastSave="{00000000-0000-0000-0000-000000000000}"/>
  <bookViews>
    <workbookView xWindow="-120" yWindow="-120" windowWidth="29040" windowHeight="15720" xr2:uid="{00000000-000D-0000-FFFF-FFFF00000000}"/>
  </bookViews>
  <sheets>
    <sheet name="Dashboard" sheetId="6" r:id="rId1"/>
    <sheet name="KPIs" sheetId="4" r:id="rId2"/>
    <sheet name="Data" sheetId="3" r:id="rId3"/>
    <sheet name="HR" sheetId="1" state="hidden" r:id="rId4"/>
  </sheets>
  <definedNames>
    <definedName name="ExternalData_1" localSheetId="2" hidden="1">Data!$A$1:$S$412</definedName>
    <definedName name="Slicer_Department">#N/A</definedName>
    <definedName name="Slicer_Employee_Category">#N/A</definedName>
    <definedName name="Slicer_Gender">#N/A</definedName>
    <definedName name="Slicer_Working_status1">#N/A</definedName>
  </definedNames>
  <calcPr calcId="191029"/>
  <pivotCaches>
    <pivotCache cacheId="2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fg9PZd26U277y3lyh8UhQ3CdUkVBN7/q3Lgvlriu4fg="/>
    </ext>
  </extLst>
</workbook>
</file>

<file path=xl/calcChain.xml><?xml version="1.0" encoding="utf-8"?>
<calcChain xmlns="http://schemas.openxmlformats.org/spreadsheetml/2006/main">
  <c r="I6" i="4" l="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805E178-AA9F-44DF-A3D3-8541ECA379A9}" keepAlive="1" name="Query - Data" description="Connection to the 'Data' query in the workbook." type="5" refreshedVersion="8" background="1" saveData="1">
    <dbPr connection="Provider=Microsoft.Mashup.OleDb.1;Data Source=$Workbook$;Location=Data;Extended Properties=&quot;&quot;" command="SELECT * FROM [Data]"/>
  </connection>
</connections>
</file>

<file path=xl/sharedStrings.xml><?xml version="1.0" encoding="utf-8"?>
<sst xmlns="http://schemas.openxmlformats.org/spreadsheetml/2006/main" count="10860" uniqueCount="906">
  <si>
    <t>ID</t>
  </si>
  <si>
    <t>Name</t>
  </si>
  <si>
    <t>Department</t>
  </si>
  <si>
    <t>Designation</t>
  </si>
  <si>
    <t>Employee Category</t>
  </si>
  <si>
    <t>Employee Type</t>
  </si>
  <si>
    <t>Date of confirmation</t>
  </si>
  <si>
    <t>Date of Join</t>
  </si>
  <si>
    <t>Gender</t>
  </si>
  <si>
    <t>Marital Status</t>
  </si>
  <si>
    <t>Blood Group</t>
  </si>
  <si>
    <t>Present Address</t>
  </si>
  <si>
    <t>Distance</t>
  </si>
  <si>
    <t>Working status</t>
  </si>
  <si>
    <t>Salary</t>
  </si>
  <si>
    <t>ACX1</t>
  </si>
  <si>
    <t>Shanta Priya</t>
  </si>
  <si>
    <t>Packing Dept.</t>
  </si>
  <si>
    <t>Line Operator</t>
  </si>
  <si>
    <t xml:space="preserve">Management </t>
  </si>
  <si>
    <t>Permanent</t>
  </si>
  <si>
    <t>Male</t>
  </si>
  <si>
    <t>Single</t>
  </si>
  <si>
    <t>B+</t>
  </si>
  <si>
    <t>Gazipura 27</t>
  </si>
  <si>
    <t>1km -3km</t>
  </si>
  <si>
    <t>Active</t>
  </si>
  <si>
    <t>ACX2</t>
  </si>
  <si>
    <t>Md. Abdul Kader</t>
  </si>
  <si>
    <t>Administration Dept.</t>
  </si>
  <si>
    <t xml:space="preserve">Indiract </t>
  </si>
  <si>
    <t>Probation</t>
  </si>
  <si>
    <t>A+</t>
  </si>
  <si>
    <t>Resigned</t>
  </si>
  <si>
    <t>ACX3</t>
  </si>
  <si>
    <t>Md. Sagor Hossain</t>
  </si>
  <si>
    <t>Production Dept.</t>
  </si>
  <si>
    <t>Married</t>
  </si>
  <si>
    <t>O+</t>
  </si>
  <si>
    <t>Uttara</t>
  </si>
  <si>
    <t>5-10km</t>
  </si>
  <si>
    <t>Fire</t>
  </si>
  <si>
    <t>ACX4</t>
  </si>
  <si>
    <t>Masud Islam Fahim</t>
  </si>
  <si>
    <t>Quality Dept.</t>
  </si>
  <si>
    <t>Loader</t>
  </si>
  <si>
    <t>Bonmala Road</t>
  </si>
  <si>
    <t>3km-5km</t>
  </si>
  <si>
    <t>ACX5</t>
  </si>
  <si>
    <t>Md. Manik Mia</t>
  </si>
  <si>
    <t>Khilkhet</t>
  </si>
  <si>
    <t>10-15km</t>
  </si>
  <si>
    <t>ACX6</t>
  </si>
  <si>
    <t>Md. Shajibur Rahaman</t>
  </si>
  <si>
    <t>ACX7</t>
  </si>
  <si>
    <t>Limon</t>
  </si>
  <si>
    <t>ACX8</t>
  </si>
  <si>
    <t>Arman Hossen</t>
  </si>
  <si>
    <t>AB+</t>
  </si>
  <si>
    <t>ACX9</t>
  </si>
  <si>
    <t>Md. Raju Mia</t>
  </si>
  <si>
    <t>ACX10</t>
  </si>
  <si>
    <t>Md. Ammar Hossain</t>
  </si>
  <si>
    <t>ACX11</t>
  </si>
  <si>
    <t>Nadim Al Kamal Murad</t>
  </si>
  <si>
    <t>ACX12</t>
  </si>
  <si>
    <t>Manik Sharker</t>
  </si>
  <si>
    <t>ACX13</t>
  </si>
  <si>
    <t>Samiul Hoque</t>
  </si>
  <si>
    <t>Gazipur Chowrasta</t>
  </si>
  <si>
    <t>ACX14</t>
  </si>
  <si>
    <t>Rashid Mahmud</t>
  </si>
  <si>
    <t>O-</t>
  </si>
  <si>
    <t>ACX15</t>
  </si>
  <si>
    <t>Md. Riad Hasan</t>
  </si>
  <si>
    <t xml:space="preserve">Diract </t>
  </si>
  <si>
    <t>ACX16</t>
  </si>
  <si>
    <t>Md. Junied Mahtav Muin</t>
  </si>
  <si>
    <t>ACX17</t>
  </si>
  <si>
    <t>Mst. Muslima</t>
  </si>
  <si>
    <t>Human Resource Dept.</t>
  </si>
  <si>
    <t>Female</t>
  </si>
  <si>
    <t>ACX18</t>
  </si>
  <si>
    <t>Md. Jahid Hasan Joy</t>
  </si>
  <si>
    <t>ACX19</t>
  </si>
  <si>
    <t>Reduyan Ahmed Ajmir</t>
  </si>
  <si>
    <t>ACX20</t>
  </si>
  <si>
    <t>Md. Sajib Hossain</t>
  </si>
  <si>
    <t>ACX21</t>
  </si>
  <si>
    <t>Rayhan Habib</t>
  </si>
  <si>
    <t>ACX22</t>
  </si>
  <si>
    <t>Md. Al Amin Hossain Shanto</t>
  </si>
  <si>
    <t>ACX23</t>
  </si>
  <si>
    <t>Nazmul Islam</t>
  </si>
  <si>
    <t>ACX24</t>
  </si>
  <si>
    <t>Pallab Bhowmick</t>
  </si>
  <si>
    <t>Board Bazar</t>
  </si>
  <si>
    <t>ACX25</t>
  </si>
  <si>
    <t>Md.Aminur Rahman</t>
  </si>
  <si>
    <t>ACX26</t>
  </si>
  <si>
    <t>Md.Musfiqur Rahman</t>
  </si>
  <si>
    <t>Mohammadpur</t>
  </si>
  <si>
    <t>20km-30km</t>
  </si>
  <si>
    <t>ACX27</t>
  </si>
  <si>
    <t>Md.Maruf Hossen</t>
  </si>
  <si>
    <t>ACX28</t>
  </si>
  <si>
    <t>Nazmul Hossain</t>
  </si>
  <si>
    <t>ACX29</t>
  </si>
  <si>
    <t>Shohag</t>
  </si>
  <si>
    <t>ACX30</t>
  </si>
  <si>
    <t>Nazmul Hosasain</t>
  </si>
  <si>
    <t>ACX31</t>
  </si>
  <si>
    <t>Sujon Mia</t>
  </si>
  <si>
    <t>ACX32</t>
  </si>
  <si>
    <t>Shourov Miah</t>
  </si>
  <si>
    <t>N/A</t>
  </si>
  <si>
    <t>Boro Bari</t>
  </si>
  <si>
    <t>ACX33</t>
  </si>
  <si>
    <t>Abdul Kayyum</t>
  </si>
  <si>
    <t>Hossen Market</t>
  </si>
  <si>
    <t>ACX34</t>
  </si>
  <si>
    <t>Aminul Islam</t>
  </si>
  <si>
    <t>ACX35</t>
  </si>
  <si>
    <t>Rafiu Ahmed</t>
  </si>
  <si>
    <t>Sign board</t>
  </si>
  <si>
    <t>ACX36</t>
  </si>
  <si>
    <t>Rubel Rana</t>
  </si>
  <si>
    <t>ACX37</t>
  </si>
  <si>
    <t>Toyon Babu</t>
  </si>
  <si>
    <t>ACX38</t>
  </si>
  <si>
    <t>Md. Sanoar Islam Shadin</t>
  </si>
  <si>
    <t>ACX39</t>
  </si>
  <si>
    <t xml:space="preserve">Mizanur Rahman </t>
  </si>
  <si>
    <t>ACX40</t>
  </si>
  <si>
    <t>Tanjim Ahmed</t>
  </si>
  <si>
    <t>ACX41</t>
  </si>
  <si>
    <t>Sahara Akter Bristy</t>
  </si>
  <si>
    <t>ACX42</t>
  </si>
  <si>
    <t>Shahadat Hossain</t>
  </si>
  <si>
    <t>ACX43</t>
  </si>
  <si>
    <t>Nittananda Das</t>
  </si>
  <si>
    <t>A-</t>
  </si>
  <si>
    <t>ACX44</t>
  </si>
  <si>
    <t xml:space="preserve">Milon Hossain </t>
  </si>
  <si>
    <t>ACX45</t>
  </si>
  <si>
    <t>Hassan Mahmud</t>
  </si>
  <si>
    <t>ACX46</t>
  </si>
  <si>
    <t>Mst. Happy</t>
  </si>
  <si>
    <t>B-</t>
  </si>
  <si>
    <t>ACX47</t>
  </si>
  <si>
    <t>Kamrul Hasan</t>
  </si>
  <si>
    <t>ACX48</t>
  </si>
  <si>
    <t>Mahenur Islam</t>
  </si>
  <si>
    <t>ACX49</t>
  </si>
  <si>
    <t>Md. Samiul Islam</t>
  </si>
  <si>
    <t>ACX50</t>
  </si>
  <si>
    <t>Sohana akter sonia</t>
  </si>
  <si>
    <t>ACX51</t>
  </si>
  <si>
    <t>Ananna Pervin</t>
  </si>
  <si>
    <t>ACX52</t>
  </si>
  <si>
    <t>Sorovi</t>
  </si>
  <si>
    <t>ACX53</t>
  </si>
  <si>
    <t>Kulsum Akter</t>
  </si>
  <si>
    <t>ACX54</t>
  </si>
  <si>
    <t>Antora Khatun</t>
  </si>
  <si>
    <t>ACX55</t>
  </si>
  <si>
    <t>Rokrya Akter Eti</t>
  </si>
  <si>
    <t>ACX56</t>
  </si>
  <si>
    <t>Sumaiya Khanom</t>
  </si>
  <si>
    <t>Executive</t>
  </si>
  <si>
    <t>ACX57</t>
  </si>
  <si>
    <t>Sumaya Akter</t>
  </si>
  <si>
    <t>Gazipur Sadar</t>
  </si>
  <si>
    <t>ACX58</t>
  </si>
  <si>
    <t>Armina Akter Akhi</t>
  </si>
  <si>
    <t>Manager</t>
  </si>
  <si>
    <t>ACX59</t>
  </si>
  <si>
    <t>Md. Nadim Mahmud</t>
  </si>
  <si>
    <t>ACX60</t>
  </si>
  <si>
    <t>Md. Minhajul Islam</t>
  </si>
  <si>
    <t>Senior Eecutive</t>
  </si>
  <si>
    <t>ACX61</t>
  </si>
  <si>
    <t>Md. Yousuf Ali</t>
  </si>
  <si>
    <t>ACX62</t>
  </si>
  <si>
    <t>Md. Nafish Muthashim Ratul</t>
  </si>
  <si>
    <t>ACX63</t>
  </si>
  <si>
    <t>Md. Babu Mia</t>
  </si>
  <si>
    <t>ACX64</t>
  </si>
  <si>
    <t>Hasi Akter</t>
  </si>
  <si>
    <t>ACX65</t>
  </si>
  <si>
    <t>Sumon Mia</t>
  </si>
  <si>
    <t>Vogra Baypass</t>
  </si>
  <si>
    <t>ACX66</t>
  </si>
  <si>
    <t>Rakibul Islam</t>
  </si>
  <si>
    <t>Assistant Manager</t>
  </si>
  <si>
    <t>ACX67</t>
  </si>
  <si>
    <t xml:space="preserve">Sudip Chandra </t>
  </si>
  <si>
    <t>ACX68</t>
  </si>
  <si>
    <t xml:space="preserve">Merajul </t>
  </si>
  <si>
    <t>Assistant Leader</t>
  </si>
  <si>
    <t>ACX69</t>
  </si>
  <si>
    <t>Rashedul Islam</t>
  </si>
  <si>
    <t>Line Leader</t>
  </si>
  <si>
    <t>ACX70</t>
  </si>
  <si>
    <t>Shamim Hossen</t>
  </si>
  <si>
    <t>PMC &amp; Warehouse Dept.</t>
  </si>
  <si>
    <t>ACX71</t>
  </si>
  <si>
    <t>Mahafuj Zim Megh</t>
  </si>
  <si>
    <t>ACX72</t>
  </si>
  <si>
    <t>Tarikul Islam</t>
  </si>
  <si>
    <t>ACX73</t>
  </si>
  <si>
    <t>Md. Mahfujur Rahman</t>
  </si>
  <si>
    <t>ACX74</t>
  </si>
  <si>
    <t>Prarvin Akter</t>
  </si>
  <si>
    <t>ACX75</t>
  </si>
  <si>
    <t>Mahmudul Hasan</t>
  </si>
  <si>
    <t>ACX76</t>
  </si>
  <si>
    <t>Mehedi Hasan Shanto</t>
  </si>
  <si>
    <t>ACX77</t>
  </si>
  <si>
    <t>Safikul Islam Emon</t>
  </si>
  <si>
    <t>Ershad Nagar</t>
  </si>
  <si>
    <t>ACX78</t>
  </si>
  <si>
    <t>Nazmul Islam Emon</t>
  </si>
  <si>
    <t>ACX79</t>
  </si>
  <si>
    <t>Junaed Hasan</t>
  </si>
  <si>
    <t>Gacha</t>
  </si>
  <si>
    <t>ACX80</t>
  </si>
  <si>
    <t>Din Mohammed Rabbi</t>
  </si>
  <si>
    <t>ACX81</t>
  </si>
  <si>
    <t>Fazlul Haque</t>
  </si>
  <si>
    <t>ACX82</t>
  </si>
  <si>
    <t>Md. Faruk Hossain</t>
  </si>
  <si>
    <t>ACX83</t>
  </si>
  <si>
    <t>Md. Shihab Uddin</t>
  </si>
  <si>
    <t>ACX84</t>
  </si>
  <si>
    <t>Masum Rana</t>
  </si>
  <si>
    <t>ACX85</t>
  </si>
  <si>
    <t>Md. Imran Hossain</t>
  </si>
  <si>
    <t>ACX86</t>
  </si>
  <si>
    <t>Mahafuzur Rahman</t>
  </si>
  <si>
    <t>ACX87</t>
  </si>
  <si>
    <t>Md. Shahrier Nayeem</t>
  </si>
  <si>
    <t>ACX88</t>
  </si>
  <si>
    <t>Faysal Hossain</t>
  </si>
  <si>
    <t>ACX89</t>
  </si>
  <si>
    <t>Sabbir Hossain Sagor</t>
  </si>
  <si>
    <t>ACX90</t>
  </si>
  <si>
    <t>Faysal Mahamud</t>
  </si>
  <si>
    <t>ACX91</t>
  </si>
  <si>
    <t>ACX92</t>
  </si>
  <si>
    <t>Sojib Hossain</t>
  </si>
  <si>
    <t>ACX93</t>
  </si>
  <si>
    <t>Rahul Mia</t>
  </si>
  <si>
    <t>ACX94</t>
  </si>
  <si>
    <t>Munni Akter</t>
  </si>
  <si>
    <t>ACX95</t>
  </si>
  <si>
    <t>Tonima Shams</t>
  </si>
  <si>
    <t>ACX96</t>
  </si>
  <si>
    <t>Nadia Sultana Beauty</t>
  </si>
  <si>
    <t>Shimultoli</t>
  </si>
  <si>
    <t>ACX97</t>
  </si>
  <si>
    <t>ACX98</t>
  </si>
  <si>
    <t>College Gate</t>
  </si>
  <si>
    <t>ACX99</t>
  </si>
  <si>
    <t>ACX100</t>
  </si>
  <si>
    <t>ACX101</t>
  </si>
  <si>
    <t>ACX102</t>
  </si>
  <si>
    <t>ACX103</t>
  </si>
  <si>
    <t>ACX104</t>
  </si>
  <si>
    <t>ACX105</t>
  </si>
  <si>
    <t>ACX106</t>
  </si>
  <si>
    <t>ACX107</t>
  </si>
  <si>
    <t>ACX108</t>
  </si>
  <si>
    <t>ACX109</t>
  </si>
  <si>
    <t>Samsur Rahman Shakil</t>
  </si>
  <si>
    <t>ACX110</t>
  </si>
  <si>
    <t>Md. Nahid Hasan Shaon</t>
  </si>
  <si>
    <t>ACX111</t>
  </si>
  <si>
    <t>ACX112</t>
  </si>
  <si>
    <t>Mouchak</t>
  </si>
  <si>
    <t>ACX113</t>
  </si>
  <si>
    <t>ACX114</t>
  </si>
  <si>
    <t>Bason</t>
  </si>
  <si>
    <t>5km-10km</t>
  </si>
  <si>
    <t>ACX115</t>
  </si>
  <si>
    <t>ACX116</t>
  </si>
  <si>
    <t>ACX117</t>
  </si>
  <si>
    <t>ACX118</t>
  </si>
  <si>
    <t>Hossen</t>
  </si>
  <si>
    <t>ACX119</t>
  </si>
  <si>
    <t>Boro bari</t>
  </si>
  <si>
    <t>ACX120</t>
  </si>
  <si>
    <t>ACX121</t>
  </si>
  <si>
    <t>Airport</t>
  </si>
  <si>
    <t>ACX122</t>
  </si>
  <si>
    <t>ACX123</t>
  </si>
  <si>
    <t>ACX124</t>
  </si>
  <si>
    <t>ACX125</t>
  </si>
  <si>
    <t>ACX126</t>
  </si>
  <si>
    <t>Hariken</t>
  </si>
  <si>
    <t>ACX127</t>
  </si>
  <si>
    <t>ACX128</t>
  </si>
  <si>
    <t>ACX129</t>
  </si>
  <si>
    <t>ACX130</t>
  </si>
  <si>
    <t>ACX131</t>
  </si>
  <si>
    <t>ACX132</t>
  </si>
  <si>
    <t>ACX133</t>
  </si>
  <si>
    <t>Mohibul Hasan</t>
  </si>
  <si>
    <t>Tongi Bazar</t>
  </si>
  <si>
    <t>ACX134</t>
  </si>
  <si>
    <t>Md. Farhad Mia</t>
  </si>
  <si>
    <t>ACX135</t>
  </si>
  <si>
    <t>Md. Limon Miah</t>
  </si>
  <si>
    <t>ACX136</t>
  </si>
  <si>
    <t>Md. Nazmul Hossain</t>
  </si>
  <si>
    <t>ACX137</t>
  </si>
  <si>
    <t>Md. Nahidul Islam</t>
  </si>
  <si>
    <t>ACX138</t>
  </si>
  <si>
    <t>Mst. Nowshin Akter</t>
  </si>
  <si>
    <t>ACX139</t>
  </si>
  <si>
    <t>Nowshad Jahan</t>
  </si>
  <si>
    <t>ACX140</t>
  </si>
  <si>
    <t>Khadija Akter Mukta</t>
  </si>
  <si>
    <t>ACX141</t>
  </si>
  <si>
    <t>Rafia Sultana Rabu</t>
  </si>
  <si>
    <t>ACX142</t>
  </si>
  <si>
    <t>Most. Asrifa Jarin</t>
  </si>
  <si>
    <t>ACX143</t>
  </si>
  <si>
    <t>Sumaya Akter Suma</t>
  </si>
  <si>
    <t>ACX144</t>
  </si>
  <si>
    <t>Mst. Lucky Khatun</t>
  </si>
  <si>
    <t>ACX145</t>
  </si>
  <si>
    <t>Fardus Ahmed</t>
  </si>
  <si>
    <t>ACX146</t>
  </si>
  <si>
    <t>Md. Alamin</t>
  </si>
  <si>
    <t>ACX147</t>
  </si>
  <si>
    <t>Md. Nosib Uddin</t>
  </si>
  <si>
    <t>ACX148</t>
  </si>
  <si>
    <t>Md. Mostafizur Rahman</t>
  </si>
  <si>
    <t>ACX149</t>
  </si>
  <si>
    <t>Md. Habibur Rahman Habib</t>
  </si>
  <si>
    <t>ACX150</t>
  </si>
  <si>
    <t>Asif Khan Jihad</t>
  </si>
  <si>
    <t>ACX151</t>
  </si>
  <si>
    <t>Md. Rasel Mia</t>
  </si>
  <si>
    <t>ACX152</t>
  </si>
  <si>
    <t>Apu Kumar Shaha</t>
  </si>
  <si>
    <t>ACX153</t>
  </si>
  <si>
    <t>Ashraful Islam</t>
  </si>
  <si>
    <t>ACX154</t>
  </si>
  <si>
    <t>Md. Abdul Matin</t>
  </si>
  <si>
    <t>ACX155</t>
  </si>
  <si>
    <t>Samia Akter</t>
  </si>
  <si>
    <t>ACX156</t>
  </si>
  <si>
    <t>Md. Jahid Hossain Mamun</t>
  </si>
  <si>
    <t>ACX157</t>
  </si>
  <si>
    <t>Elias Hossain</t>
  </si>
  <si>
    <t>ACX158</t>
  </si>
  <si>
    <t>Md. Shohan Mia</t>
  </si>
  <si>
    <t>ACX159</t>
  </si>
  <si>
    <t>Md. Shahariyer Hasan Fahim Khondoker</t>
  </si>
  <si>
    <t>ACX160</t>
  </si>
  <si>
    <t>Abu Hanif Sarker</t>
  </si>
  <si>
    <t>ACX161</t>
  </si>
  <si>
    <t>Monirul Islam</t>
  </si>
  <si>
    <t>ACX162</t>
  </si>
  <si>
    <t>Nadim Hossain</t>
  </si>
  <si>
    <t>ACX163</t>
  </si>
  <si>
    <t>ACX164</t>
  </si>
  <si>
    <t>Ismail Jofiullah</t>
  </si>
  <si>
    <t>ACX165</t>
  </si>
  <si>
    <t>Md. Shahparan Hossen</t>
  </si>
  <si>
    <t>ACX166</t>
  </si>
  <si>
    <t>Khadiza Khatun</t>
  </si>
  <si>
    <t>ACX167</t>
  </si>
  <si>
    <t>Sultana Razia</t>
  </si>
  <si>
    <t>ACX168</t>
  </si>
  <si>
    <t>Kamrun Nahar Dipti</t>
  </si>
  <si>
    <t>ACX169</t>
  </si>
  <si>
    <t>Jafrina Alam Jannat</t>
  </si>
  <si>
    <t>ACX170</t>
  </si>
  <si>
    <t>Tania Akter</t>
  </si>
  <si>
    <t>ACX171</t>
  </si>
  <si>
    <t>Razia</t>
  </si>
  <si>
    <t>ACX172</t>
  </si>
  <si>
    <t>Shamir Das</t>
  </si>
  <si>
    <t>ACX173</t>
  </si>
  <si>
    <t>Nurul Islam</t>
  </si>
  <si>
    <t>ACX174</t>
  </si>
  <si>
    <t>Murshida Khatun</t>
  </si>
  <si>
    <t>ACX175</t>
  </si>
  <si>
    <t>Nilufa Akter Lily</t>
  </si>
  <si>
    <t>ACX176</t>
  </si>
  <si>
    <t>Modina Chowdhury</t>
  </si>
  <si>
    <t>ACX177</t>
  </si>
  <si>
    <t>Md. Ali Al Nur Mahi</t>
  </si>
  <si>
    <t>ACX178</t>
  </si>
  <si>
    <t>Md. Mehedi Hassan</t>
  </si>
  <si>
    <t>ACX179</t>
  </si>
  <si>
    <t>Hasnat Shah Emon</t>
  </si>
  <si>
    <t>ACX180</t>
  </si>
  <si>
    <t>Al Amin</t>
  </si>
  <si>
    <t>ACX181</t>
  </si>
  <si>
    <t>Md. Borhan Miah</t>
  </si>
  <si>
    <t>ACX182</t>
  </si>
  <si>
    <t>Rasidul Islam</t>
  </si>
  <si>
    <t>ACX183</t>
  </si>
  <si>
    <t>Most. Tania Sultana</t>
  </si>
  <si>
    <t>ACX184</t>
  </si>
  <si>
    <t>Khadiza Akter</t>
  </si>
  <si>
    <t>ACX185</t>
  </si>
  <si>
    <t>Amina Akter</t>
  </si>
  <si>
    <t>ACX186</t>
  </si>
  <si>
    <t>ACX187</t>
  </si>
  <si>
    <t>Sagar Raha</t>
  </si>
  <si>
    <t>ACX188</t>
  </si>
  <si>
    <t>Md. Shamim Hossain</t>
  </si>
  <si>
    <t>ACX189</t>
  </si>
  <si>
    <t>Md. Rofiqul Islam Khan</t>
  </si>
  <si>
    <t>ACX190</t>
  </si>
  <si>
    <t>Sifat Ullah Chowdury</t>
  </si>
  <si>
    <t>ACX191</t>
  </si>
  <si>
    <t>Mamun Mia</t>
  </si>
  <si>
    <t>ACX192</t>
  </si>
  <si>
    <t>Md. Rasel Sikdar</t>
  </si>
  <si>
    <t>ACX193</t>
  </si>
  <si>
    <t>Gulshan Negar Khan Tumpa</t>
  </si>
  <si>
    <t>ACX194</t>
  </si>
  <si>
    <t>Aysha Akter</t>
  </si>
  <si>
    <t>ACX195</t>
  </si>
  <si>
    <t>Mosammad Shamsunnahar</t>
  </si>
  <si>
    <t>ACX196</t>
  </si>
  <si>
    <t>Jannatul Ferdusy Keya</t>
  </si>
  <si>
    <t>ACX197</t>
  </si>
  <si>
    <t>Fatama Akter Mitu</t>
  </si>
  <si>
    <t>ACX198</t>
  </si>
  <si>
    <t>Mst. Rupali Akter</t>
  </si>
  <si>
    <t>ACX199</t>
  </si>
  <si>
    <t>Monira Akter</t>
  </si>
  <si>
    <t>ACX200</t>
  </si>
  <si>
    <t>Shawon Kabir Hira</t>
  </si>
  <si>
    <t>ACX201</t>
  </si>
  <si>
    <t>Md. Raihanul Haque</t>
  </si>
  <si>
    <t>ACX202</t>
  </si>
  <si>
    <t>Swapna Akter Runa</t>
  </si>
  <si>
    <t>ACX203</t>
  </si>
  <si>
    <t>Mst. Liza Moni</t>
  </si>
  <si>
    <t>ACX204</t>
  </si>
  <si>
    <t>Sathia Akter</t>
  </si>
  <si>
    <t>ACX205</t>
  </si>
  <si>
    <t>Sumaya Shemu</t>
  </si>
  <si>
    <t>ACX206</t>
  </si>
  <si>
    <t>Aktarina Khatun</t>
  </si>
  <si>
    <t>ACX207</t>
  </si>
  <si>
    <t>Simanto Roy</t>
  </si>
  <si>
    <t>ACX208</t>
  </si>
  <si>
    <t>Atikur Rahman</t>
  </si>
  <si>
    <t>ACX209</t>
  </si>
  <si>
    <t>Tahmina Akter</t>
  </si>
  <si>
    <t>ACX210</t>
  </si>
  <si>
    <t>Tahia Akther Dina</t>
  </si>
  <si>
    <t>ACX211</t>
  </si>
  <si>
    <t>Shabnur Akter</t>
  </si>
  <si>
    <t>ACX212</t>
  </si>
  <si>
    <t>Prity Rani sarker</t>
  </si>
  <si>
    <t>Gazipur sadar</t>
  </si>
  <si>
    <t>ACX213</t>
  </si>
  <si>
    <t>Mursheda</t>
  </si>
  <si>
    <t>ACX214</t>
  </si>
  <si>
    <t>Zakia akter Jui</t>
  </si>
  <si>
    <t>ACX215</t>
  </si>
  <si>
    <t>Sultan Mahmud</t>
  </si>
  <si>
    <t>ACX216</t>
  </si>
  <si>
    <t>Shakil Mia</t>
  </si>
  <si>
    <t>ACX217</t>
  </si>
  <si>
    <t>Md. Chonok Mia</t>
  </si>
  <si>
    <t>ACX218</t>
  </si>
  <si>
    <t>Md. Suhad Un Nabby Sohag</t>
  </si>
  <si>
    <t>ACX219</t>
  </si>
  <si>
    <t>Md. Hridoy Mia</t>
  </si>
  <si>
    <t>ACX220</t>
  </si>
  <si>
    <t>Rafiqul Islam Rabbi</t>
  </si>
  <si>
    <t>Kolambiya</t>
  </si>
  <si>
    <t>ACX221</t>
  </si>
  <si>
    <t>Sumaiya Akter</t>
  </si>
  <si>
    <t>ACX222</t>
  </si>
  <si>
    <t>Md. Mamunur Rashid Mamun</t>
  </si>
  <si>
    <t>ACX223</t>
  </si>
  <si>
    <t>Md. Monir Uzzaman</t>
  </si>
  <si>
    <t>ACX224</t>
  </si>
  <si>
    <t>Mst. Monika Akter</t>
  </si>
  <si>
    <t>ACX225</t>
  </si>
  <si>
    <t>Md. Ali Hamza Sagor</t>
  </si>
  <si>
    <t>ACX226</t>
  </si>
  <si>
    <t>Mehedi Hasan Shahed</t>
  </si>
  <si>
    <t>ACX227</t>
  </si>
  <si>
    <t>Shajib Ahmed</t>
  </si>
  <si>
    <t>ACX228</t>
  </si>
  <si>
    <t>Md. Parvez</t>
  </si>
  <si>
    <t>ACX229</t>
  </si>
  <si>
    <t>Mahfuja Benta Mubarak</t>
  </si>
  <si>
    <t>ACX230</t>
  </si>
  <si>
    <t>Most. Saima Khanum Doly</t>
  </si>
  <si>
    <t>ACX231</t>
  </si>
  <si>
    <t>Suma Khatun</t>
  </si>
  <si>
    <t>ACX232</t>
  </si>
  <si>
    <t>Md. Alek Sardar</t>
  </si>
  <si>
    <t>ACX233</t>
  </si>
  <si>
    <t>Md. Zawad Bin Mostafa</t>
  </si>
  <si>
    <t>ACX234</t>
  </si>
  <si>
    <t>Marjana</t>
  </si>
  <si>
    <t>ACX235</t>
  </si>
  <si>
    <t>Mst. Mim</t>
  </si>
  <si>
    <t>ACX236</t>
  </si>
  <si>
    <t>Sumaya Akter Mim</t>
  </si>
  <si>
    <t>ACX237</t>
  </si>
  <si>
    <t>Taslima Akter</t>
  </si>
  <si>
    <t>AB-</t>
  </si>
  <si>
    <t xml:space="preserve">Boro Bari </t>
  </si>
  <si>
    <t>ACX238</t>
  </si>
  <si>
    <t>Md. Abu Nayim</t>
  </si>
  <si>
    <t>ACX239</t>
  </si>
  <si>
    <t>Tithi Biswas</t>
  </si>
  <si>
    <t>ACX240</t>
  </si>
  <si>
    <t>Samapto Bala Uraw</t>
  </si>
  <si>
    <t>ACX241</t>
  </si>
  <si>
    <t>Rita Akter Ety</t>
  </si>
  <si>
    <t>ACX242</t>
  </si>
  <si>
    <t>Md. Arman Ahmeed</t>
  </si>
  <si>
    <t>ACX243</t>
  </si>
  <si>
    <t>G.M Golam Mostafa</t>
  </si>
  <si>
    <t>ACX244</t>
  </si>
  <si>
    <t>Meher Afrin Moli</t>
  </si>
  <si>
    <t>ACX245</t>
  </si>
  <si>
    <t>Khadija islam Mou</t>
  </si>
  <si>
    <t>ACX246</t>
  </si>
  <si>
    <t>Md. Rakibul Hasan</t>
  </si>
  <si>
    <t>ACX247</t>
  </si>
  <si>
    <t>Afroja Akter Kona</t>
  </si>
  <si>
    <t>ACX248</t>
  </si>
  <si>
    <t>Moriam Akter</t>
  </si>
  <si>
    <t>ACX249</t>
  </si>
  <si>
    <t>Md.Naiem Miah</t>
  </si>
  <si>
    <t>ACX250</t>
  </si>
  <si>
    <t>Sadhon Kumar Sarker</t>
  </si>
  <si>
    <t>ACX251</t>
  </si>
  <si>
    <t>Meghla Akter</t>
  </si>
  <si>
    <t>ACX252</t>
  </si>
  <si>
    <t>Naznin Nahar</t>
  </si>
  <si>
    <t>ACX253</t>
  </si>
  <si>
    <t>Md. Roni Miah</t>
  </si>
  <si>
    <t>ACX254</t>
  </si>
  <si>
    <t>Md. Sujon Mia</t>
  </si>
  <si>
    <t>ACX255</t>
  </si>
  <si>
    <t>Md. Masum Mia</t>
  </si>
  <si>
    <t>ACX256</t>
  </si>
  <si>
    <t>Mithun Paul</t>
  </si>
  <si>
    <t>ACX257</t>
  </si>
  <si>
    <t>Mohammad Billal Hosen</t>
  </si>
  <si>
    <t>ACX258</t>
  </si>
  <si>
    <t>Kaiyoum Sikder</t>
  </si>
  <si>
    <t>ACX259</t>
  </si>
  <si>
    <t>Md. Antor Ali</t>
  </si>
  <si>
    <t>ACX260</t>
  </si>
  <si>
    <t>Md. Shakil Hossain</t>
  </si>
  <si>
    <t>ACX261</t>
  </si>
  <si>
    <t>Md. Jehad Hossain</t>
  </si>
  <si>
    <t>ACX262</t>
  </si>
  <si>
    <t>Iffatara Mitu</t>
  </si>
  <si>
    <t>ACX263</t>
  </si>
  <si>
    <t>Md. Oli Bahar</t>
  </si>
  <si>
    <t>ACX264</t>
  </si>
  <si>
    <t>Md. Yamin Hossain</t>
  </si>
  <si>
    <t>ACX265</t>
  </si>
  <si>
    <t>Mamunur Rashid</t>
  </si>
  <si>
    <t>ACX266</t>
  </si>
  <si>
    <t>Nure Alam Siddiki</t>
  </si>
  <si>
    <t>ACX267</t>
  </si>
  <si>
    <t>Rana</t>
  </si>
  <si>
    <t>Engineering</t>
  </si>
  <si>
    <t>Charagali</t>
  </si>
  <si>
    <t>ACX268</t>
  </si>
  <si>
    <t>Choyon Kumar Shill</t>
  </si>
  <si>
    <t>ACX269</t>
  </si>
  <si>
    <t>Farhaduzzaman</t>
  </si>
  <si>
    <t>ACX270</t>
  </si>
  <si>
    <t>Shahriar Ahmed</t>
  </si>
  <si>
    <t>ACX271</t>
  </si>
  <si>
    <t>Md. Tarikul Islam Raju</t>
  </si>
  <si>
    <t>ACX272</t>
  </si>
  <si>
    <t>ACX273</t>
  </si>
  <si>
    <t>Dipali Akter</t>
  </si>
  <si>
    <t>ACX274</t>
  </si>
  <si>
    <t>Monalisa Akter</t>
  </si>
  <si>
    <t>ACX275</t>
  </si>
  <si>
    <t>Amena Akter</t>
  </si>
  <si>
    <t>ACX276</t>
  </si>
  <si>
    <t>Jannatul Fedous Rumi</t>
  </si>
  <si>
    <t>ACX277</t>
  </si>
  <si>
    <t>Parama Biswas</t>
  </si>
  <si>
    <t>ACX278</t>
  </si>
  <si>
    <t>Mst. Ummey Habiba</t>
  </si>
  <si>
    <t>ACX279</t>
  </si>
  <si>
    <t>Bithe Akter</t>
  </si>
  <si>
    <t>ACX280</t>
  </si>
  <si>
    <t>Md. Shohag Shaikh</t>
  </si>
  <si>
    <t>ACX281</t>
  </si>
  <si>
    <t>Muni Akter</t>
  </si>
  <si>
    <t>ACX282</t>
  </si>
  <si>
    <t>ACX283</t>
  </si>
  <si>
    <t>Md. Mahfuzur Rahman</t>
  </si>
  <si>
    <t>ACX284</t>
  </si>
  <si>
    <t>Md. Abdul Momin</t>
  </si>
  <si>
    <t>ACX285</t>
  </si>
  <si>
    <t>Md. Imam Hossain Siam</t>
  </si>
  <si>
    <t>ACX286</t>
  </si>
  <si>
    <t>Rita Akter</t>
  </si>
  <si>
    <t>ACX287</t>
  </si>
  <si>
    <t>Tanjina Akter Mukta</t>
  </si>
  <si>
    <t>ACX288</t>
  </si>
  <si>
    <t>Mahadi Hasan</t>
  </si>
  <si>
    <t>ACX289</t>
  </si>
  <si>
    <t>Md. Sohag</t>
  </si>
  <si>
    <t>ACX290</t>
  </si>
  <si>
    <t>Md. Mahafuj Ali</t>
  </si>
  <si>
    <t>ACX291</t>
  </si>
  <si>
    <t>Rezaul Islam Sajib</t>
  </si>
  <si>
    <t>ACX292</t>
  </si>
  <si>
    <t>Rezuan Ullah</t>
  </si>
  <si>
    <t>ACX293</t>
  </si>
  <si>
    <t>Pobitra Chandra</t>
  </si>
  <si>
    <t>ACX294</t>
  </si>
  <si>
    <t>Mostafizur Rahman</t>
  </si>
  <si>
    <t>ACX295</t>
  </si>
  <si>
    <t>Joy Chondro Dus</t>
  </si>
  <si>
    <t>ACX296</t>
  </si>
  <si>
    <t>ACX297</t>
  </si>
  <si>
    <t>Hosneara</t>
  </si>
  <si>
    <t>ACX298</t>
  </si>
  <si>
    <t>Easha Moni</t>
  </si>
  <si>
    <t>ACX299</t>
  </si>
  <si>
    <t>Riad Talukdar</t>
  </si>
  <si>
    <t>ACX300</t>
  </si>
  <si>
    <t>Mujahidul Islam</t>
  </si>
  <si>
    <t>ACX301</t>
  </si>
  <si>
    <t>Mohon</t>
  </si>
  <si>
    <t>Cleaner</t>
  </si>
  <si>
    <t>ACX302</t>
  </si>
  <si>
    <t>Md. Sujon  Ali Shekh</t>
  </si>
  <si>
    <t>ACX303</t>
  </si>
  <si>
    <t>Md. Al Rafi</t>
  </si>
  <si>
    <t>ACX304</t>
  </si>
  <si>
    <t>Sakib Ahmed Nobi</t>
  </si>
  <si>
    <t>ACX305</t>
  </si>
  <si>
    <t>Md. Zamil Hossen</t>
  </si>
  <si>
    <t>ACX306</t>
  </si>
  <si>
    <t>Jannatul Fardaus</t>
  </si>
  <si>
    <t>ACX307</t>
  </si>
  <si>
    <t>Roxi Akter Bristi</t>
  </si>
  <si>
    <t>ACX308</t>
  </si>
  <si>
    <t>Zahid Hasan</t>
  </si>
  <si>
    <t>ACX309</t>
  </si>
  <si>
    <t>Md. Emon Hossain</t>
  </si>
  <si>
    <t>ACX310</t>
  </si>
  <si>
    <t>Nadiya Akter Setu</t>
  </si>
  <si>
    <t>ACX311</t>
  </si>
  <si>
    <t>Mst. Ayesha Begum</t>
  </si>
  <si>
    <t>ACX312</t>
  </si>
  <si>
    <t>Md. Saiful Islam</t>
  </si>
  <si>
    <t>ACX313</t>
  </si>
  <si>
    <t>Shahin Alam</t>
  </si>
  <si>
    <t>ACX314</t>
  </si>
  <si>
    <t>Asif Hasan Jisan</t>
  </si>
  <si>
    <t>ACX315</t>
  </si>
  <si>
    <t>Md. Jahidul Islam</t>
  </si>
  <si>
    <t>ACX316</t>
  </si>
  <si>
    <t>Mst. Sammi Akter</t>
  </si>
  <si>
    <t>ACX317</t>
  </si>
  <si>
    <t>Banna Akter</t>
  </si>
  <si>
    <t>ACX318</t>
  </si>
  <si>
    <t>Afrin Akter Akhi</t>
  </si>
  <si>
    <t>ACX319</t>
  </si>
  <si>
    <t>Liza Akter Laboni</t>
  </si>
  <si>
    <t>ACX320</t>
  </si>
  <si>
    <t>Md. Nadim Hossain Choyon</t>
  </si>
  <si>
    <t>ACX321</t>
  </si>
  <si>
    <t>Khadeja Akter Anika</t>
  </si>
  <si>
    <t>ACX322</t>
  </si>
  <si>
    <t>Jerin</t>
  </si>
  <si>
    <t>Azimpur Dhaka</t>
  </si>
  <si>
    <t>ACX323</t>
  </si>
  <si>
    <t>ACX324</t>
  </si>
  <si>
    <t>ACX325</t>
  </si>
  <si>
    <t>Mukta Moni</t>
  </si>
  <si>
    <t>ACX326</t>
  </si>
  <si>
    <t>Azizul Hakim</t>
  </si>
  <si>
    <t>Kunia</t>
  </si>
  <si>
    <t>ACX327</t>
  </si>
  <si>
    <t>Khairul Islam Sagor</t>
  </si>
  <si>
    <t>ACX328</t>
  </si>
  <si>
    <t>ACX329</t>
  </si>
  <si>
    <t>Md. Masud Rana</t>
  </si>
  <si>
    <t>ACX330</t>
  </si>
  <si>
    <t>Rima Akter</t>
  </si>
  <si>
    <t>ACX331</t>
  </si>
  <si>
    <t>ACX332</t>
  </si>
  <si>
    <t>Hridoy Hossain Khan</t>
  </si>
  <si>
    <t>ACX333</t>
  </si>
  <si>
    <t>Saboj Mia</t>
  </si>
  <si>
    <t>ACX334</t>
  </si>
  <si>
    <t>Fatama Iti</t>
  </si>
  <si>
    <t>ACX335</t>
  </si>
  <si>
    <t>Rimu Akter</t>
  </si>
  <si>
    <t>ACX336</t>
  </si>
  <si>
    <t>Dolon Akter Prova</t>
  </si>
  <si>
    <t>ACX337</t>
  </si>
  <si>
    <t>Sabiha Sultana Masuma</t>
  </si>
  <si>
    <t>ACX338</t>
  </si>
  <si>
    <t>Md. Azizul Islam</t>
  </si>
  <si>
    <t>ACX339</t>
  </si>
  <si>
    <t>Ebrahim Miah</t>
  </si>
  <si>
    <t>ACX340</t>
  </si>
  <si>
    <t>Md. Mirajul Islam</t>
  </si>
  <si>
    <t>ACX341</t>
  </si>
  <si>
    <t>Rabaya Sultana</t>
  </si>
  <si>
    <t>ACX342</t>
  </si>
  <si>
    <t>Sagar Modak</t>
  </si>
  <si>
    <t>ACX343</t>
  </si>
  <si>
    <t>Sudip Modak</t>
  </si>
  <si>
    <t>ACX344</t>
  </si>
  <si>
    <t>Neloy Kumar</t>
  </si>
  <si>
    <t>ACX345</t>
  </si>
  <si>
    <t>Md. Omar Faruk</t>
  </si>
  <si>
    <t>ACX346</t>
  </si>
  <si>
    <t>Md. Tarmin Hosen Rana</t>
  </si>
  <si>
    <t>ACX347</t>
  </si>
  <si>
    <t>Md. Sobuz Ahmed Shuvo</t>
  </si>
  <si>
    <t>ACX348</t>
  </si>
  <si>
    <t>Suvha Chandra Sarker</t>
  </si>
  <si>
    <t>ACX349</t>
  </si>
  <si>
    <t>Sima Roy</t>
  </si>
  <si>
    <t>ACX350</t>
  </si>
  <si>
    <t>Rabeya Akter Tanjila</t>
  </si>
  <si>
    <t>ACX351</t>
  </si>
  <si>
    <t>Md. Shanto Mia</t>
  </si>
  <si>
    <t>ACX352</t>
  </si>
  <si>
    <t>Rakib Kazi</t>
  </si>
  <si>
    <t>ACX353</t>
  </si>
  <si>
    <t>Aminul Islam Pappu</t>
  </si>
  <si>
    <t>ACX354</t>
  </si>
  <si>
    <t>Nazmul Akondo</t>
  </si>
  <si>
    <t>ACX355</t>
  </si>
  <si>
    <t>Md. Ripon Sheikh</t>
  </si>
  <si>
    <t>ACX356</t>
  </si>
  <si>
    <t>Hamim Zubaed Shuvo</t>
  </si>
  <si>
    <t>ACX357</t>
  </si>
  <si>
    <t>ACX358</t>
  </si>
  <si>
    <t>Easrat Jahan</t>
  </si>
  <si>
    <t>ACX359</t>
  </si>
  <si>
    <t>Sadia Akter Nitu</t>
  </si>
  <si>
    <t>ACX360</t>
  </si>
  <si>
    <t>Isahik Kazi</t>
  </si>
  <si>
    <t>ACX361</t>
  </si>
  <si>
    <t>Md. Asharat Hossain</t>
  </si>
  <si>
    <t>ACX362</t>
  </si>
  <si>
    <t>Mst. Asma Begum</t>
  </si>
  <si>
    <t>ACX363</t>
  </si>
  <si>
    <t>Miss. Rima Khatun</t>
  </si>
  <si>
    <t>ACX364</t>
  </si>
  <si>
    <t>Md. Ariful Islam</t>
  </si>
  <si>
    <t>ACX365</t>
  </si>
  <si>
    <t>Md. Nazmul Hassan</t>
  </si>
  <si>
    <t>ACX366</t>
  </si>
  <si>
    <t>Reshma Rahman</t>
  </si>
  <si>
    <t>ACX367</t>
  </si>
  <si>
    <t>Tamanna Sultana Mim</t>
  </si>
  <si>
    <t>ACX368</t>
  </si>
  <si>
    <t>Kulsum Akter Mala</t>
  </si>
  <si>
    <t>ACX369</t>
  </si>
  <si>
    <t>Saruf Ahmed Antar</t>
  </si>
  <si>
    <t>ACX370</t>
  </si>
  <si>
    <t>Md. Saikhul Islam Siam</t>
  </si>
  <si>
    <t>ACX371</t>
  </si>
  <si>
    <t>Bishwajit Mandal</t>
  </si>
  <si>
    <t>ACX372</t>
  </si>
  <si>
    <t>Riaj Uddin</t>
  </si>
  <si>
    <t>ACX373</t>
  </si>
  <si>
    <t>Akia Akter</t>
  </si>
  <si>
    <t>ACX374</t>
  </si>
  <si>
    <t>Md. Sojib Mia</t>
  </si>
  <si>
    <t>ACX375</t>
  </si>
  <si>
    <t>Akash Ahmed</t>
  </si>
  <si>
    <t>ACX376</t>
  </si>
  <si>
    <t>Sahriar Hossain Fahim</t>
  </si>
  <si>
    <t>ACX377</t>
  </si>
  <si>
    <t>Sumaiya Akter Mim</t>
  </si>
  <si>
    <t>ACX378</t>
  </si>
  <si>
    <t>Md. Azizul Hakim Akash</t>
  </si>
  <si>
    <t>ACX379</t>
  </si>
  <si>
    <t>Md. Mehedi Hasan</t>
  </si>
  <si>
    <t>ACX380</t>
  </si>
  <si>
    <t>Md. Safayet Hossain Rifat</t>
  </si>
  <si>
    <t>ACX381</t>
  </si>
  <si>
    <t>Dipta Halder</t>
  </si>
  <si>
    <t>ACX382</t>
  </si>
  <si>
    <t>Md. Tarikul Islam Nahid</t>
  </si>
  <si>
    <t>ACX383</t>
  </si>
  <si>
    <t>Jonaky</t>
  </si>
  <si>
    <t>ACX384</t>
  </si>
  <si>
    <t>Nahid Khan</t>
  </si>
  <si>
    <t>ACX385</t>
  </si>
  <si>
    <t xml:space="preserve">Abu Hanif </t>
  </si>
  <si>
    <t>ACX386</t>
  </si>
  <si>
    <t>Md. Jubail Islam</t>
  </si>
  <si>
    <t>ACX387</t>
  </si>
  <si>
    <t>Adithy Roy</t>
  </si>
  <si>
    <t>ACX388</t>
  </si>
  <si>
    <t>Md. Nayon Mia</t>
  </si>
  <si>
    <t>ACX389</t>
  </si>
  <si>
    <t>Nur Rahman</t>
  </si>
  <si>
    <t>ACX390</t>
  </si>
  <si>
    <t>Md. Jobber Hossain</t>
  </si>
  <si>
    <t>ACX391</t>
  </si>
  <si>
    <t>Mst. Rokeya Roni</t>
  </si>
  <si>
    <t>ACX392</t>
  </si>
  <si>
    <t>Mahadul Islam</t>
  </si>
  <si>
    <t>ACX393</t>
  </si>
  <si>
    <t>Lamya Islam Tanjila</t>
  </si>
  <si>
    <t>ACX394</t>
  </si>
  <si>
    <t>Afsana Akter</t>
  </si>
  <si>
    <t>ACX395</t>
  </si>
  <si>
    <t>Md. Mosarof Hosen</t>
  </si>
  <si>
    <t>ACX396</t>
  </si>
  <si>
    <t>Rofikul</t>
  </si>
  <si>
    <t>Bashundhara</t>
  </si>
  <si>
    <t>ACX397</t>
  </si>
  <si>
    <t>Md. Rayhan Sarker</t>
  </si>
  <si>
    <t>ACX398</t>
  </si>
  <si>
    <t>Suma Akter</t>
  </si>
  <si>
    <t>ACX399</t>
  </si>
  <si>
    <t>ACX400</t>
  </si>
  <si>
    <t>Mst. Somaiya Khanom Sumi</t>
  </si>
  <si>
    <t>ACX401</t>
  </si>
  <si>
    <t>Tamim Banu</t>
  </si>
  <si>
    <t>ACX402</t>
  </si>
  <si>
    <t>Eshita Akter</t>
  </si>
  <si>
    <t>ACX403</t>
  </si>
  <si>
    <t>Mst. Labony Akter</t>
  </si>
  <si>
    <t>ACX404</t>
  </si>
  <si>
    <t>Fareya Sultana</t>
  </si>
  <si>
    <t>ACX405</t>
  </si>
  <si>
    <t>Md. Shahajalal</t>
  </si>
  <si>
    <t>ACX406</t>
  </si>
  <si>
    <t>Md. Alamin Hossain</t>
  </si>
  <si>
    <t>ACX407</t>
  </si>
  <si>
    <t>Abdullah Al Mamun</t>
  </si>
  <si>
    <t>ACX408</t>
  </si>
  <si>
    <t>Md. Abdullah</t>
  </si>
  <si>
    <t>Support Staff</t>
  </si>
  <si>
    <t>ACX409</t>
  </si>
  <si>
    <t>Md. Robin</t>
  </si>
  <si>
    <t>Kaliakoir</t>
  </si>
  <si>
    <t>Key Metrics</t>
  </si>
  <si>
    <t>1. What is the total Number of employee currently in payroll ?</t>
  </si>
  <si>
    <t>2. Department Split</t>
  </si>
  <si>
    <t>Row Labels</t>
  </si>
  <si>
    <t>Grand Total</t>
  </si>
  <si>
    <t>Workfore Composition</t>
  </si>
  <si>
    <t>Salary &amp; Financial Analysis</t>
  </si>
  <si>
    <t>6. Average Salary By Department</t>
  </si>
  <si>
    <t>Average of Salary</t>
  </si>
  <si>
    <t>Role Group</t>
  </si>
  <si>
    <t>Other</t>
  </si>
  <si>
    <t>Month Name</t>
  </si>
  <si>
    <t>Year</t>
  </si>
  <si>
    <t>Quarter</t>
  </si>
  <si>
    <t>March</t>
  </si>
  <si>
    <t>May</t>
  </si>
  <si>
    <t>June</t>
  </si>
  <si>
    <t>July</t>
  </si>
  <si>
    <t>August</t>
  </si>
  <si>
    <t>September</t>
  </si>
  <si>
    <t>November</t>
  </si>
  <si>
    <t>December</t>
  </si>
  <si>
    <t>January</t>
  </si>
  <si>
    <t>February</t>
  </si>
  <si>
    <t>April</t>
  </si>
  <si>
    <t>Count of ID</t>
  </si>
  <si>
    <t>TotalEmployees</t>
  </si>
  <si>
    <t>How many employees are in each department (e.g., Production, Quality, Packing)?</t>
  </si>
  <si>
    <t>3. Which designations (e.g., Line Operator, Loader) have the highest number of employees?</t>
  </si>
  <si>
    <t>4.0 What is the ratio of Management to Direct/Indirect workers?</t>
  </si>
  <si>
    <t>What is the total "Basic Salary" expenditure per month?</t>
  </si>
  <si>
    <t>7. What is the average salary for a "Line Operator" versus other roles?</t>
  </si>
  <si>
    <t>8. How does the salary differ between "Permanent" and "Probation" employees?</t>
  </si>
  <si>
    <t>​3. Recruitment &amp; Retention</t>
  </si>
  <si>
    <t>How many employees were joined in each month or quarter? (Time-series analysis)</t>
  </si>
  <si>
    <t>EmpJoined</t>
  </si>
  <si>
    <t>What percentage of employees are currently "Active" vs. "Resigned" or "Fire"?</t>
  </si>
  <si>
    <t>How many employees are currently in their "Probation" period vs. "Permanent"?</t>
  </si>
  <si>
    <t>Employee Demographics &amp; Logistics</t>
  </si>
  <si>
    <t>What is the male-to-female ratio across different departments?</t>
  </si>
  <si>
    <t>​Marital Status &amp; Health: What is the distribution of Marital Status and Blood Groups (useful for HR records and emergency planning)?</t>
  </si>
  <si>
    <t>​Slicers (Filters): Department, Working Status, Gender, and Employee Category to make the dashboard interactiv</t>
  </si>
  <si>
    <t>Count</t>
  </si>
  <si>
    <t>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</si>
</sst>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_(* \(#,##0.00\);_(* &quot;-&quot;??_);_(@_)"/>
    <numFmt numFmtId="164" formatCode="[$-409]d/mmm/yy;@"/>
    <numFmt numFmtId="165" formatCode="_(* #,##0_);_(* \(#,##0\);_(* &quot;-&quot;??_);_(@_)"/>
  </numFmts>
  <fonts count="10"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rgb="FF006100"/>
      <name val="Calibri"/>
      <family val="2"/>
      <scheme val="minor"/>
    </font>
    <font>
      <b/>
      <sz val="11"/>
      <color theme="1"/>
      <name val="Calibri"/>
      <family val="2"/>
      <scheme val="minor"/>
    </font>
    <font>
      <sz val="11"/>
      <color theme="0"/>
      <name val="Calibri"/>
      <family val="2"/>
      <scheme val="minor"/>
    </font>
    <font>
      <b/>
      <sz val="11"/>
      <color rgb="FF006100"/>
      <name val="Calibri"/>
      <family val="2"/>
      <scheme val="minor"/>
    </font>
    <font>
      <b/>
      <sz val="11"/>
      <color theme="0"/>
      <name val="Calibri"/>
      <family val="2"/>
      <scheme val="minor"/>
    </font>
  </fonts>
  <fills count="13">
    <fill>
      <patternFill patternType="none"/>
    </fill>
    <fill>
      <patternFill patternType="gray125"/>
    </fill>
    <fill>
      <patternFill patternType="solid">
        <fgColor rgb="FFC6EFCE"/>
      </patternFill>
    </fill>
    <fill>
      <patternFill patternType="solid">
        <fgColor theme="7" tint="0.59999389629810485"/>
        <bgColor indexed="65"/>
      </patternFill>
    </fill>
    <fill>
      <patternFill patternType="solid">
        <fgColor rgb="FF002060"/>
        <bgColor indexed="64"/>
      </patternFill>
    </fill>
    <fill>
      <patternFill patternType="solid">
        <fgColor theme="5"/>
      </patternFill>
    </fill>
    <fill>
      <patternFill patternType="solid">
        <fgColor theme="9"/>
      </patternFill>
    </fill>
    <fill>
      <patternFill patternType="solid">
        <fgColor theme="1" tint="0.499984740745262"/>
        <bgColor indexed="64"/>
      </patternFill>
    </fill>
    <fill>
      <patternFill patternType="solid">
        <fgColor theme="1"/>
        <bgColor indexed="64"/>
      </patternFill>
    </fill>
    <fill>
      <patternFill patternType="solid">
        <fgColor theme="2" tint="-0.34998626667073579"/>
        <bgColor indexed="64"/>
      </patternFill>
    </fill>
    <fill>
      <patternFill patternType="solid">
        <fgColor theme="1" tint="0.34998626667073579"/>
        <bgColor indexed="64"/>
      </patternFill>
    </fill>
    <fill>
      <patternFill patternType="solid">
        <fgColor theme="2" tint="-0.499984740745262"/>
        <bgColor indexed="64"/>
      </patternFill>
    </fill>
    <fill>
      <patternFill patternType="solid">
        <fgColor theme="3" tint="4.9989318521683403E-2"/>
        <bgColor indexed="64"/>
      </patternFill>
    </fill>
  </fills>
  <borders count="1">
    <border>
      <left/>
      <right/>
      <top/>
      <bottom/>
      <diagonal/>
    </border>
  </borders>
  <cellStyleXfs count="6">
    <xf numFmtId="0" fontId="0" fillId="0" borderId="0"/>
    <xf numFmtId="0" fontId="5" fillId="2" borderId="0" applyNumberFormat="0" applyBorder="0" applyAlignment="0" applyProtection="0"/>
    <xf numFmtId="0" fontId="3" fillId="3" borderId="0" applyNumberFormat="0" applyBorder="0" applyAlignment="0" applyProtection="0"/>
    <xf numFmtId="43" fontId="4" fillId="0" borderId="0" applyFont="0" applyFill="0" applyBorder="0" applyAlignment="0" applyProtection="0"/>
    <xf numFmtId="0" fontId="7" fillId="5" borderId="0" applyNumberFormat="0" applyBorder="0" applyAlignment="0" applyProtection="0"/>
    <xf numFmtId="0" fontId="7" fillId="6" borderId="0" applyNumberFormat="0" applyBorder="0" applyAlignment="0" applyProtection="0"/>
  </cellStyleXfs>
  <cellXfs count="29">
    <xf numFmtId="0" fontId="0" fillId="0" borderId="0" xfId="0"/>
    <xf numFmtId="0" fontId="4" fillId="0" borderId="0" xfId="0" applyFont="1"/>
    <xf numFmtId="0" fontId="7" fillId="4" borderId="0" xfId="0" applyFont="1" applyFill="1"/>
    <xf numFmtId="0" fontId="3" fillId="0" borderId="0" xfId="0" applyFont="1"/>
    <xf numFmtId="0" fontId="0" fillId="0" borderId="0" xfId="0" pivotButton="1"/>
    <xf numFmtId="0" fontId="0" fillId="0" borderId="0" xfId="0" applyAlignment="1">
      <alignment horizontal="left"/>
    </xf>
    <xf numFmtId="0" fontId="8" fillId="2" borderId="0" xfId="1" applyFont="1"/>
    <xf numFmtId="0" fontId="3" fillId="3" borderId="0" xfId="2"/>
    <xf numFmtId="164" fontId="4" fillId="0" borderId="0" xfId="0" applyNumberFormat="1" applyFont="1"/>
    <xf numFmtId="165" fontId="0" fillId="0" borderId="0" xfId="0" applyNumberFormat="1"/>
    <xf numFmtId="0" fontId="6" fillId="0" borderId="0" xfId="0" applyFont="1"/>
    <xf numFmtId="22" fontId="0" fillId="0" borderId="0" xfId="0" applyNumberFormat="1"/>
    <xf numFmtId="14" fontId="0" fillId="0" borderId="0" xfId="0" applyNumberFormat="1"/>
    <xf numFmtId="0" fontId="2" fillId="0" borderId="0" xfId="0" applyFont="1"/>
    <xf numFmtId="10" fontId="0" fillId="0" borderId="0" xfId="0" applyNumberFormat="1"/>
    <xf numFmtId="0" fontId="6" fillId="0" borderId="0" xfId="0" applyFont="1" applyAlignment="1">
      <alignment horizontal="left"/>
    </xf>
    <xf numFmtId="165" fontId="0" fillId="0" borderId="0" xfId="3" applyNumberFormat="1" applyFont="1"/>
    <xf numFmtId="0" fontId="0" fillId="0" borderId="0" xfId="0" applyAlignment="1">
      <alignment horizontal="left" indent="1"/>
    </xf>
    <xf numFmtId="0" fontId="9" fillId="6" borderId="0" xfId="5" applyFont="1"/>
    <xf numFmtId="0" fontId="7" fillId="5" borderId="0" xfId="4"/>
    <xf numFmtId="0" fontId="1" fillId="0" borderId="0" xfId="0" applyFont="1"/>
    <xf numFmtId="0" fontId="0" fillId="0" borderId="0" xfId="0" applyNumberFormat="1"/>
    <xf numFmtId="10" fontId="0" fillId="0" borderId="0" xfId="0" applyNumberFormat="1" applyAlignment="1"/>
    <xf numFmtId="0" fontId="0" fillId="7" borderId="0" xfId="0" applyFill="1"/>
    <xf numFmtId="0" fontId="0" fillId="8" borderId="0" xfId="0" applyFill="1"/>
    <xf numFmtId="0" fontId="0" fillId="9" borderId="0" xfId="0" applyFill="1"/>
    <xf numFmtId="0" fontId="0" fillId="10" borderId="0" xfId="0" applyFill="1"/>
    <xf numFmtId="0" fontId="0" fillId="11" borderId="0" xfId="0" applyFill="1"/>
    <xf numFmtId="0" fontId="0" fillId="12" borderId="0" xfId="0" applyFill="1"/>
  </cellXfs>
  <cellStyles count="6">
    <cellStyle name="40% - Accent4" xfId="2" builtinId="43"/>
    <cellStyle name="Accent2" xfId="4" builtinId="33"/>
    <cellStyle name="Accent6" xfId="5" builtinId="49"/>
    <cellStyle name="Comma" xfId="3" builtinId="3"/>
    <cellStyle name="Good" xfId="1" builtinId="26"/>
    <cellStyle name="Normal" xfId="0" builtinId="0"/>
  </cellStyles>
  <dxfs count="48">
    <dxf>
      <numFmt numFmtId="165" formatCode="_(* #,##0_);_(* \(#,##0\);_(* &quot;-&quot;??_);_(@_)"/>
    </dxf>
    <dxf>
      <numFmt numFmtId="165" formatCode="_(* #,##0_);_(* \(#,##0\);_(* &quot;-&quot;??_);_(@_)"/>
    </dxf>
    <dxf>
      <numFmt numFmtId="165" formatCode="_(* #,##0_);_(* \(#,##0\);_(* &quot;-&quot;??_);_(@_)"/>
    </dxf>
    <dxf>
      <numFmt numFmtId="165" formatCode="_(* #,##0_);_(* \(#,##0\);_(* &quot;-&quot;??_);_(@_)"/>
    </dxf>
    <dxf>
      <alignment horizontal="general"/>
    </dxf>
    <dxf>
      <numFmt numFmtId="14" formatCode="0.00%"/>
    </dxf>
    <dxf>
      <numFmt numFmtId="165" formatCode="_(* #,##0_);_(* \(#,##0\);_(* &quot;-&quot;??_);_(@_)"/>
    </dxf>
    <dxf>
      <numFmt numFmtId="165" formatCode="_(* #,##0_);_(* \(#,##0\);_(* &quot;-&quot;??_);_(@_)"/>
    </dxf>
    <dxf>
      <numFmt numFmtId="14" formatCode="0.00%"/>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64" formatCode="[$-409]d/mmm/yy;@"/>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
    </dxf>
    <dxf>
      <numFmt numFmtId="27" formatCode="dd/mm/yy\ h:mm"/>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Slicer Style 1" pivot="0" table="0" count="0" xr9:uid="{3F97E61B-C16E-42D2-A653-F45BBD662E48}"/>
  </tableStyles>
  <extLst>
    <ext xmlns:x14="http://schemas.microsoft.com/office/spreadsheetml/2009/9/main" uri="{EB79DEF2-80B8-43e5-95BD-54CBDDF9020C}">
      <x14:slicerStyles defaultSlicerStyle="Slicer Style 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customschemas.google.com/relationships/workbookmetadata" Target="metadata"/><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[HRDataset.xlsx]KPIs!PivotTable9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55762912214231"/>
          <c:y val="0.14217960391210477"/>
          <c:w val="0.85756143036060228"/>
          <c:h val="0.31433368140658002"/>
        </c:manualLayout>
      </c:layout>
      <c:barChart>
        <c:barDir val="col"/>
        <c:grouping val="clustered"/>
        <c:varyColors val="0"/>
        <c:ser>
          <c:idx val="0"/>
          <c:order val="0"/>
          <c:tx>
            <c:strRef>
              <c:f>KPIs!$B$11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KPIs!$A$12:$A$19</c:f>
              <c:strCache>
                <c:ptCount val="7"/>
                <c:pt idx="0">
                  <c:v>Administration Dept.</c:v>
                </c:pt>
                <c:pt idx="1">
                  <c:v>Engineering</c:v>
                </c:pt>
                <c:pt idx="2">
                  <c:v>Human Resource Dept.</c:v>
                </c:pt>
                <c:pt idx="3">
                  <c:v>Packing Dept.</c:v>
                </c:pt>
                <c:pt idx="4">
                  <c:v>PMC &amp; Warehouse Dept.</c:v>
                </c:pt>
                <c:pt idx="5">
                  <c:v>Production Dept.</c:v>
                </c:pt>
                <c:pt idx="6">
                  <c:v>Quality Dept.</c:v>
                </c:pt>
              </c:strCache>
            </c:strRef>
          </c:cat>
          <c:val>
            <c:numRef>
              <c:f>KPIs!$B$12:$B$19</c:f>
              <c:numCache>
                <c:formatCode>General</c:formatCode>
                <c:ptCount val="7"/>
                <c:pt idx="0">
                  <c:v>4</c:v>
                </c:pt>
                <c:pt idx="1">
                  <c:v>3</c:v>
                </c:pt>
                <c:pt idx="2">
                  <c:v>1</c:v>
                </c:pt>
                <c:pt idx="3">
                  <c:v>94</c:v>
                </c:pt>
                <c:pt idx="4">
                  <c:v>28</c:v>
                </c:pt>
                <c:pt idx="5">
                  <c:v>155</c:v>
                </c:pt>
                <c:pt idx="6">
                  <c:v>126</c:v>
                </c:pt>
              </c:numCache>
            </c:numRef>
          </c:val>
          <c:extLst>
            <c:ext xmlns:c16="http://schemas.microsoft.com/office/drawing/2014/chart" uri="{C3380CC4-5D6E-409C-BE32-E72D297353CC}">
              <c16:uniqueId val="{00000000-D996-4948-8CE0-A6B906AA6C8F}"/>
            </c:ext>
          </c:extLst>
        </c:ser>
        <c:dLbls>
          <c:showLegendKey val="0"/>
          <c:showVal val="0"/>
          <c:showCatName val="0"/>
          <c:showSerName val="0"/>
          <c:showPercent val="0"/>
          <c:showBubbleSize val="0"/>
        </c:dLbls>
        <c:gapWidth val="219"/>
        <c:overlap val="-27"/>
        <c:axId val="574460400"/>
        <c:axId val="574444080"/>
      </c:barChart>
      <c:catAx>
        <c:axId val="574460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444080"/>
        <c:crosses val="autoZero"/>
        <c:auto val="1"/>
        <c:lblAlgn val="ctr"/>
        <c:lblOffset val="100"/>
        <c:noMultiLvlLbl val="0"/>
      </c:catAx>
      <c:valAx>
        <c:axId val="57444408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574460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[HRDataset.xlsx]KPIs!PivotTable20</c:name>
    <c:fmtId val="1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1"/>
          </a:solidFill>
          <a:ln w="19050">
            <a:solidFill>
              <a:schemeClr val="lt1"/>
            </a:solidFill>
          </a:ln>
          <a:effectLst/>
        </c:spPr>
        <c:dLbl>
          <c:idx val="0"/>
          <c:layout>
            <c:manualLayout>
              <c:x val="6.2893081761006289E-2"/>
              <c:y val="-1.4492753623188406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716997639446016"/>
                  <c:h val="0.18829738673970101"/>
                </c:manualLayout>
              </c15:layout>
            </c:ext>
          </c:extLst>
        </c:dLbl>
      </c:pivotFmt>
      <c:pivotFmt>
        <c:idx val="6"/>
        <c:spPr>
          <a:solidFill>
            <a:schemeClr val="accent1"/>
          </a:solidFill>
          <a:ln w="19050">
            <a:solidFill>
              <a:schemeClr val="lt1"/>
            </a:solidFill>
          </a:ln>
          <a:effectLst/>
        </c:spPr>
        <c:dLbl>
          <c:idx val="0"/>
          <c:layout>
            <c:manualLayout>
              <c:x val="-6.2893081761006303E-2"/>
              <c:y val="7.246376811594203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KPIs!$J$65</c:f>
              <c:strCache>
                <c:ptCount val="1"/>
                <c:pt idx="0">
                  <c:v>Total</c:v>
                </c:pt>
              </c:strCache>
            </c:strRef>
          </c:tx>
          <c:explosion val="1"/>
          <c:dPt>
            <c:idx val="0"/>
            <c:bubble3D val="0"/>
            <c:spPr>
              <a:solidFill>
                <a:schemeClr val="tx1"/>
              </a:solidFill>
              <a:ln w="19050">
                <a:solidFill>
                  <a:schemeClr val="lt1"/>
                </a:solidFill>
              </a:ln>
              <a:effectLst/>
            </c:spPr>
            <c:extLst>
              <c:ext xmlns:c16="http://schemas.microsoft.com/office/drawing/2014/chart" uri="{C3380CC4-5D6E-409C-BE32-E72D297353CC}">
                <c16:uniqueId val="{00000001-C977-4B32-A998-E328E56CB8F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977-4B32-A998-E328E56CB8F4}"/>
              </c:ext>
            </c:extLst>
          </c:dPt>
          <c:dLbls>
            <c:dLbl>
              <c:idx val="0"/>
              <c:layout>
                <c:manualLayout>
                  <c:x val="6.2893081761006289E-2"/>
                  <c:y val="-1.4492753623188406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716997639446016"/>
                      <c:h val="0.18829738673970101"/>
                    </c:manualLayout>
                  </c15:layout>
                </c:ext>
                <c:ext xmlns:c16="http://schemas.microsoft.com/office/drawing/2014/chart" uri="{C3380CC4-5D6E-409C-BE32-E72D297353CC}">
                  <c16:uniqueId val="{00000001-C977-4B32-A998-E328E56CB8F4}"/>
                </c:ext>
              </c:extLst>
            </c:dLbl>
            <c:dLbl>
              <c:idx val="1"/>
              <c:layout>
                <c:manualLayout>
                  <c:x val="-6.2893081761006303E-2"/>
                  <c:y val="7.24637681159420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977-4B32-A998-E328E56CB8F4}"/>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KPIs!$I$66:$I$68</c:f>
              <c:strCache>
                <c:ptCount val="2"/>
                <c:pt idx="0">
                  <c:v>Female</c:v>
                </c:pt>
                <c:pt idx="1">
                  <c:v>Male</c:v>
                </c:pt>
              </c:strCache>
            </c:strRef>
          </c:cat>
          <c:val>
            <c:numRef>
              <c:f>KPIs!$J$66:$J$68</c:f>
              <c:numCache>
                <c:formatCode>_(* #,##0_);_(* \(#,##0\);_(* "-"??_);_(@_)</c:formatCode>
                <c:ptCount val="2"/>
                <c:pt idx="0">
                  <c:v>138</c:v>
                </c:pt>
                <c:pt idx="1">
                  <c:v>273</c:v>
                </c:pt>
              </c:numCache>
            </c:numRef>
          </c:val>
          <c:extLst>
            <c:ext xmlns:c16="http://schemas.microsoft.com/office/drawing/2014/chart" uri="{C3380CC4-5D6E-409C-BE32-E72D297353CC}">
              <c16:uniqueId val="{00000004-C977-4B32-A998-E328E56CB8F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[HRDataset.xlsx]KPIs!PivotTable21</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KPIs!$AA$4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KPIs!$Z$5:$Z$16</c:f>
              <c:strCache>
                <c:ptCount val="11"/>
                <c:pt idx="0">
                  <c:v>January</c:v>
                </c:pt>
                <c:pt idx="1">
                  <c:v>February</c:v>
                </c:pt>
                <c:pt idx="2">
                  <c:v>March</c:v>
                </c:pt>
                <c:pt idx="3">
                  <c:v>April</c:v>
                </c:pt>
                <c:pt idx="4">
                  <c:v>May</c:v>
                </c:pt>
                <c:pt idx="5">
                  <c:v>June</c:v>
                </c:pt>
                <c:pt idx="6">
                  <c:v>July</c:v>
                </c:pt>
                <c:pt idx="7">
                  <c:v>August</c:v>
                </c:pt>
                <c:pt idx="8">
                  <c:v>September</c:v>
                </c:pt>
                <c:pt idx="9">
                  <c:v>November</c:v>
                </c:pt>
                <c:pt idx="10">
                  <c:v>December</c:v>
                </c:pt>
              </c:strCache>
            </c:strRef>
          </c:cat>
          <c:val>
            <c:numRef>
              <c:f>KPIs!$AA$5:$AA$16</c:f>
              <c:numCache>
                <c:formatCode>General</c:formatCode>
                <c:ptCount val="11"/>
                <c:pt idx="0">
                  <c:v>74</c:v>
                </c:pt>
                <c:pt idx="1">
                  <c:v>43</c:v>
                </c:pt>
                <c:pt idx="2">
                  <c:v>3</c:v>
                </c:pt>
                <c:pt idx="3">
                  <c:v>1</c:v>
                </c:pt>
                <c:pt idx="4">
                  <c:v>3</c:v>
                </c:pt>
                <c:pt idx="5">
                  <c:v>8</c:v>
                </c:pt>
                <c:pt idx="6">
                  <c:v>12</c:v>
                </c:pt>
                <c:pt idx="7">
                  <c:v>2</c:v>
                </c:pt>
                <c:pt idx="8">
                  <c:v>1</c:v>
                </c:pt>
                <c:pt idx="9">
                  <c:v>2</c:v>
                </c:pt>
                <c:pt idx="10">
                  <c:v>262</c:v>
                </c:pt>
              </c:numCache>
            </c:numRef>
          </c:val>
          <c:extLst>
            <c:ext xmlns:c16="http://schemas.microsoft.com/office/drawing/2014/chart" uri="{C3380CC4-5D6E-409C-BE32-E72D297353CC}">
              <c16:uniqueId val="{00000000-1B03-4EAE-B52B-6025671F68CB}"/>
            </c:ext>
          </c:extLst>
        </c:ser>
        <c:dLbls>
          <c:dLblPos val="outEnd"/>
          <c:showLegendKey val="0"/>
          <c:showVal val="1"/>
          <c:showCatName val="0"/>
          <c:showSerName val="0"/>
          <c:showPercent val="0"/>
          <c:showBubbleSize val="0"/>
        </c:dLbls>
        <c:gapWidth val="219"/>
        <c:overlap val="-27"/>
        <c:axId val="574504080"/>
        <c:axId val="574506960"/>
      </c:barChart>
      <c:catAx>
        <c:axId val="574504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506960"/>
        <c:crosses val="autoZero"/>
        <c:auto val="1"/>
        <c:lblAlgn val="ctr"/>
        <c:lblOffset val="100"/>
        <c:noMultiLvlLbl val="0"/>
      </c:catAx>
      <c:valAx>
        <c:axId val="574506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504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[HRDataset.xlsx]KPIs!PivotTable12</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KPIs!$J$10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KPIs!$I$11:$I$18</c:f>
              <c:strCache>
                <c:ptCount val="7"/>
                <c:pt idx="0">
                  <c:v>Administration Dept.</c:v>
                </c:pt>
                <c:pt idx="1">
                  <c:v>Engineering</c:v>
                </c:pt>
                <c:pt idx="2">
                  <c:v>Human Resource Dept.</c:v>
                </c:pt>
                <c:pt idx="3">
                  <c:v>Packing Dept.</c:v>
                </c:pt>
                <c:pt idx="4">
                  <c:v>PMC &amp; Warehouse Dept.</c:v>
                </c:pt>
                <c:pt idx="5">
                  <c:v>Production Dept.</c:v>
                </c:pt>
                <c:pt idx="6">
                  <c:v>Quality Dept.</c:v>
                </c:pt>
              </c:strCache>
            </c:strRef>
          </c:cat>
          <c:val>
            <c:numRef>
              <c:f>KPIs!$J$11:$J$18</c:f>
              <c:numCache>
                <c:formatCode>_(* #,##0_);_(* \(#,##0\);_(* "-"??_);_(@_)</c:formatCode>
                <c:ptCount val="7"/>
                <c:pt idx="0">
                  <c:v>17375</c:v>
                </c:pt>
                <c:pt idx="1">
                  <c:v>13000</c:v>
                </c:pt>
                <c:pt idx="2">
                  <c:v>56</c:v>
                </c:pt>
                <c:pt idx="3">
                  <c:v>10394.510638297872</c:v>
                </c:pt>
                <c:pt idx="4">
                  <c:v>8845.4285714285706</c:v>
                </c:pt>
                <c:pt idx="5">
                  <c:v>25381.012903225808</c:v>
                </c:pt>
                <c:pt idx="6">
                  <c:v>10281.198412698413</c:v>
                </c:pt>
              </c:numCache>
            </c:numRef>
          </c:val>
          <c:extLst>
            <c:ext xmlns:c16="http://schemas.microsoft.com/office/drawing/2014/chart" uri="{C3380CC4-5D6E-409C-BE32-E72D297353CC}">
              <c16:uniqueId val="{00000000-FD67-4E97-9843-9EAE33796A9D}"/>
            </c:ext>
          </c:extLst>
        </c:ser>
        <c:dLbls>
          <c:dLblPos val="outEnd"/>
          <c:showLegendKey val="0"/>
          <c:showVal val="1"/>
          <c:showCatName val="0"/>
          <c:showSerName val="0"/>
          <c:showPercent val="0"/>
          <c:showBubbleSize val="0"/>
        </c:dLbls>
        <c:gapWidth val="219"/>
        <c:overlap val="-27"/>
        <c:axId val="599294640"/>
        <c:axId val="599298000"/>
      </c:barChart>
      <c:catAx>
        <c:axId val="599294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9298000"/>
        <c:crosses val="autoZero"/>
        <c:auto val="1"/>
        <c:lblAlgn val="ctr"/>
        <c:lblOffset val="100"/>
        <c:noMultiLvlLbl val="0"/>
      </c:catAx>
      <c:valAx>
        <c:axId val="599298000"/>
        <c:scaling>
          <c:orientation val="minMax"/>
        </c:scaling>
        <c:delete val="1"/>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crossAx val="599294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5.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4.svg"/><Relationship Id="rId5" Type="http://schemas.openxmlformats.org/officeDocument/2006/relationships/image" Target="../media/image3.png"/><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123825</xdr:colOff>
      <xdr:row>0</xdr:row>
      <xdr:rowOff>57150</xdr:rowOff>
    </xdr:from>
    <xdr:to>
      <xdr:col>11</xdr:col>
      <xdr:colOff>876300</xdr:colOff>
      <xdr:row>2</xdr:row>
      <xdr:rowOff>104775</xdr:rowOff>
    </xdr:to>
    <xdr:sp macro="" textlink="">
      <xdr:nvSpPr>
        <xdr:cNvPr id="2" name="Rectangle: Rounded Corners 1">
          <a:extLst>
            <a:ext uri="{FF2B5EF4-FFF2-40B4-BE49-F238E27FC236}">
              <a16:creationId xmlns:a16="http://schemas.microsoft.com/office/drawing/2014/main" id="{7717170E-5F19-CC93-D985-9F83ECB9B19B}"/>
            </a:ext>
          </a:extLst>
        </xdr:cNvPr>
        <xdr:cNvSpPr/>
      </xdr:nvSpPr>
      <xdr:spPr>
        <a:xfrm>
          <a:off x="123825" y="57150"/>
          <a:ext cx="9105900" cy="428625"/>
        </a:xfrm>
        <a:prstGeom prst="roundRect">
          <a:avLst/>
        </a:prstGeom>
        <a:solidFill>
          <a:srgbClr val="002060"/>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US" sz="2000" b="1">
              <a:solidFill>
                <a:schemeClr val="bg1"/>
              </a:solidFill>
              <a:latin typeface="Book Antiqua" panose="02040602050305030304" pitchFamily="18" charset="0"/>
            </a:rPr>
            <a:t>HR Analytics Dashboard</a:t>
          </a:r>
        </a:p>
      </xdr:txBody>
    </xdr:sp>
    <xdr:clientData/>
  </xdr:twoCellAnchor>
  <xdr:twoCellAnchor>
    <xdr:from>
      <xdr:col>1</xdr:col>
      <xdr:colOff>104775</xdr:colOff>
      <xdr:row>3</xdr:row>
      <xdr:rowOff>9524</xdr:rowOff>
    </xdr:from>
    <xdr:to>
      <xdr:col>3</xdr:col>
      <xdr:colOff>47625</xdr:colOff>
      <xdr:row>6</xdr:row>
      <xdr:rowOff>95249</xdr:rowOff>
    </xdr:to>
    <xdr:sp macro="" textlink="">
      <xdr:nvSpPr>
        <xdr:cNvPr id="3" name="Rectangle: Rounded Corners 2">
          <a:extLst>
            <a:ext uri="{FF2B5EF4-FFF2-40B4-BE49-F238E27FC236}">
              <a16:creationId xmlns:a16="http://schemas.microsoft.com/office/drawing/2014/main" id="{A9DC6780-CE5F-DA5F-58BD-63653B5BCCB3}"/>
            </a:ext>
          </a:extLst>
        </xdr:cNvPr>
        <xdr:cNvSpPr/>
      </xdr:nvSpPr>
      <xdr:spPr>
        <a:xfrm>
          <a:off x="190500" y="581024"/>
          <a:ext cx="1581150" cy="657225"/>
        </a:xfrm>
        <a:prstGeom prst="roundRect">
          <a:avLst/>
        </a:prstGeom>
        <a:ln w="19050">
          <a:solidFill>
            <a:schemeClr val="bg1">
              <a:lumMod val="75000"/>
            </a:schemeClr>
          </a:solidFill>
        </a:ln>
        <a:effectLst>
          <a:outerShdw blurRad="50800" dist="38100" dir="2700000" algn="tl" rotWithShape="0">
            <a:prstClr val="black">
              <a:alpha val="40000"/>
            </a:prstClr>
          </a:outerShdw>
        </a:effectLst>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361950</xdr:colOff>
      <xdr:row>3</xdr:row>
      <xdr:rowOff>9525</xdr:rowOff>
    </xdr:from>
    <xdr:to>
      <xdr:col>6</xdr:col>
      <xdr:colOff>38100</xdr:colOff>
      <xdr:row>6</xdr:row>
      <xdr:rowOff>85725</xdr:rowOff>
    </xdr:to>
    <xdr:sp macro="" textlink="">
      <xdr:nvSpPr>
        <xdr:cNvPr id="7" name="Rectangle: Rounded Corners 6">
          <a:extLst>
            <a:ext uri="{FF2B5EF4-FFF2-40B4-BE49-F238E27FC236}">
              <a16:creationId xmlns:a16="http://schemas.microsoft.com/office/drawing/2014/main" id="{F8B2ED8B-ACD4-ACB4-51D6-7E2A2A701DE1}"/>
            </a:ext>
          </a:extLst>
        </xdr:cNvPr>
        <xdr:cNvSpPr/>
      </xdr:nvSpPr>
      <xdr:spPr>
        <a:xfrm>
          <a:off x="2085975" y="581025"/>
          <a:ext cx="2133600" cy="647700"/>
        </a:xfrm>
        <a:prstGeom prst="roundRect">
          <a:avLst/>
        </a:prstGeom>
        <a:ln w="19050">
          <a:solidFill>
            <a:schemeClr val="bg1">
              <a:lumMod val="75000"/>
            </a:schemeClr>
          </a:solidFill>
        </a:ln>
        <a:effectLst>
          <a:outerShdw blurRad="50800" dist="38100" dir="2700000" algn="tl" rotWithShape="0">
            <a:prstClr val="black">
              <a:alpha val="40000"/>
            </a:prstClr>
          </a:outerShdw>
        </a:effectLst>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447675</xdr:colOff>
      <xdr:row>3</xdr:row>
      <xdr:rowOff>9525</xdr:rowOff>
    </xdr:from>
    <xdr:to>
      <xdr:col>9</xdr:col>
      <xdr:colOff>123825</xdr:colOff>
      <xdr:row>6</xdr:row>
      <xdr:rowOff>85725</xdr:rowOff>
    </xdr:to>
    <xdr:sp macro="" textlink="">
      <xdr:nvSpPr>
        <xdr:cNvPr id="11" name="Rectangle: Rounded Corners 10">
          <a:extLst>
            <a:ext uri="{FF2B5EF4-FFF2-40B4-BE49-F238E27FC236}">
              <a16:creationId xmlns:a16="http://schemas.microsoft.com/office/drawing/2014/main" id="{8DDCBFBF-BA3A-3381-33EB-106BE5102F1B}"/>
            </a:ext>
          </a:extLst>
        </xdr:cNvPr>
        <xdr:cNvSpPr/>
      </xdr:nvSpPr>
      <xdr:spPr>
        <a:xfrm>
          <a:off x="4705350" y="581025"/>
          <a:ext cx="2133600" cy="647700"/>
        </a:xfrm>
        <a:prstGeom prst="roundRect">
          <a:avLst/>
        </a:prstGeom>
        <a:ln w="19050">
          <a:solidFill>
            <a:schemeClr val="bg1">
              <a:lumMod val="75000"/>
            </a:schemeClr>
          </a:solidFill>
        </a:ln>
        <a:effectLst>
          <a:outerShdw blurRad="50800" dist="38100" dir="2700000" algn="tl" rotWithShape="0">
            <a:prstClr val="black">
              <a:alpha val="40000"/>
            </a:prstClr>
          </a:outerShdw>
        </a:effectLst>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342901</xdr:colOff>
      <xdr:row>3</xdr:row>
      <xdr:rowOff>19050</xdr:rowOff>
    </xdr:from>
    <xdr:to>
      <xdr:col>11</xdr:col>
      <xdr:colOff>838201</xdr:colOff>
      <xdr:row>6</xdr:row>
      <xdr:rowOff>95250</xdr:rowOff>
    </xdr:to>
    <xdr:sp macro="" textlink="">
      <xdr:nvSpPr>
        <xdr:cNvPr id="12" name="Rectangle: Rounded Corners 11">
          <a:extLst>
            <a:ext uri="{FF2B5EF4-FFF2-40B4-BE49-F238E27FC236}">
              <a16:creationId xmlns:a16="http://schemas.microsoft.com/office/drawing/2014/main" id="{6F738A32-BA15-70FC-F520-7AB58DB9179C}"/>
            </a:ext>
          </a:extLst>
        </xdr:cNvPr>
        <xdr:cNvSpPr/>
      </xdr:nvSpPr>
      <xdr:spPr>
        <a:xfrm>
          <a:off x="7715251" y="590550"/>
          <a:ext cx="2133600" cy="647700"/>
        </a:xfrm>
        <a:prstGeom prst="roundRect">
          <a:avLst/>
        </a:prstGeom>
        <a:ln w="19050">
          <a:solidFill>
            <a:schemeClr val="bg1">
              <a:lumMod val="75000"/>
            </a:schemeClr>
          </a:solidFill>
        </a:ln>
        <a:effectLst>
          <a:outerShdw blurRad="50800" dist="38100" dir="2700000" algn="tl" rotWithShape="0">
            <a:prstClr val="black">
              <a:alpha val="40000"/>
            </a:prstClr>
          </a:outerShdw>
        </a:effectLst>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161925</xdr:colOff>
      <xdr:row>4</xdr:row>
      <xdr:rowOff>142875</xdr:rowOff>
    </xdr:from>
    <xdr:to>
      <xdr:col>2</xdr:col>
      <xdr:colOff>695325</xdr:colOff>
      <xdr:row>6</xdr:row>
      <xdr:rowOff>19050</xdr:rowOff>
    </xdr:to>
    <xdr:sp macro="" textlink="">
      <xdr:nvSpPr>
        <xdr:cNvPr id="13" name="TextBox 12">
          <a:extLst>
            <a:ext uri="{FF2B5EF4-FFF2-40B4-BE49-F238E27FC236}">
              <a16:creationId xmlns:a16="http://schemas.microsoft.com/office/drawing/2014/main" id="{8ADACCE8-CCC3-C674-540B-1245912F783E}"/>
            </a:ext>
          </a:extLst>
        </xdr:cNvPr>
        <xdr:cNvSpPr txBox="1"/>
      </xdr:nvSpPr>
      <xdr:spPr>
        <a:xfrm>
          <a:off x="323850" y="904875"/>
          <a:ext cx="1352550" cy="257175"/>
        </a:xfrm>
        <a:prstGeom prst="rect">
          <a:avLst/>
        </a:prstGeom>
        <a:solidFill>
          <a:schemeClr val="bg2">
            <a:lumMod val="6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ln>
                <a:noFill/>
              </a:ln>
            </a:rPr>
            <a:t>Total Employees</a:t>
          </a:r>
        </a:p>
      </xdr:txBody>
    </xdr:sp>
    <xdr:clientData/>
  </xdr:twoCellAnchor>
  <xdr:twoCellAnchor>
    <xdr:from>
      <xdr:col>3</xdr:col>
      <xdr:colOff>790575</xdr:colOff>
      <xdr:row>4</xdr:row>
      <xdr:rowOff>133350</xdr:rowOff>
    </xdr:from>
    <xdr:to>
      <xdr:col>5</xdr:col>
      <xdr:colOff>409575</xdr:colOff>
      <xdr:row>6</xdr:row>
      <xdr:rowOff>9525</xdr:rowOff>
    </xdr:to>
    <xdr:sp macro="" textlink="">
      <xdr:nvSpPr>
        <xdr:cNvPr id="14" name="TextBox 13">
          <a:extLst>
            <a:ext uri="{FF2B5EF4-FFF2-40B4-BE49-F238E27FC236}">
              <a16:creationId xmlns:a16="http://schemas.microsoft.com/office/drawing/2014/main" id="{FF08D6CF-953C-4B83-88FF-26528AC215DE}"/>
            </a:ext>
          </a:extLst>
        </xdr:cNvPr>
        <xdr:cNvSpPr txBox="1"/>
      </xdr:nvSpPr>
      <xdr:spPr>
        <a:xfrm>
          <a:off x="2514600" y="895350"/>
          <a:ext cx="1257300" cy="257175"/>
        </a:xfrm>
        <a:prstGeom prst="rect">
          <a:avLst/>
        </a:prstGeom>
        <a:solidFill>
          <a:schemeClr val="bg2">
            <a:lumMod val="6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ln>
                <a:noFill/>
              </a:ln>
            </a:rPr>
            <a:t>Total Basis Salary</a:t>
          </a:r>
        </a:p>
      </xdr:txBody>
    </xdr:sp>
    <xdr:clientData/>
  </xdr:twoCellAnchor>
  <xdr:twoCellAnchor>
    <xdr:from>
      <xdr:col>7</xdr:col>
      <xdr:colOff>85725</xdr:colOff>
      <xdr:row>4</xdr:row>
      <xdr:rowOff>123825</xdr:rowOff>
    </xdr:from>
    <xdr:to>
      <xdr:col>8</xdr:col>
      <xdr:colOff>523875</xdr:colOff>
      <xdr:row>6</xdr:row>
      <xdr:rowOff>0</xdr:rowOff>
    </xdr:to>
    <xdr:sp macro="" textlink="">
      <xdr:nvSpPr>
        <xdr:cNvPr id="15" name="TextBox 14">
          <a:extLst>
            <a:ext uri="{FF2B5EF4-FFF2-40B4-BE49-F238E27FC236}">
              <a16:creationId xmlns:a16="http://schemas.microsoft.com/office/drawing/2014/main" id="{3121A908-C3BE-4F26-9994-0F96338C2EB3}"/>
            </a:ext>
          </a:extLst>
        </xdr:cNvPr>
        <xdr:cNvSpPr txBox="1"/>
      </xdr:nvSpPr>
      <xdr:spPr>
        <a:xfrm>
          <a:off x="5086350" y="885825"/>
          <a:ext cx="1257300" cy="257175"/>
        </a:xfrm>
        <a:prstGeom prst="rect">
          <a:avLst/>
        </a:prstGeom>
        <a:solidFill>
          <a:schemeClr val="bg2">
            <a:lumMod val="6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ln>
                <a:noFill/>
              </a:ln>
            </a:rPr>
            <a:t>Active</a:t>
          </a:r>
          <a:r>
            <a:rPr lang="en-US" sz="1100" b="1" baseline="0">
              <a:ln>
                <a:noFill/>
              </a:ln>
            </a:rPr>
            <a:t> Employees</a:t>
          </a:r>
          <a:endParaRPr lang="en-US" sz="1100" b="1">
            <a:ln>
              <a:noFill/>
            </a:ln>
          </a:endParaRPr>
        </a:p>
      </xdr:txBody>
    </xdr:sp>
    <xdr:clientData/>
  </xdr:twoCellAnchor>
  <xdr:twoCellAnchor>
    <xdr:from>
      <xdr:col>10</xdr:col>
      <xdr:colOff>76200</xdr:colOff>
      <xdr:row>4</xdr:row>
      <xdr:rowOff>152400</xdr:rowOff>
    </xdr:from>
    <xdr:to>
      <xdr:col>11</xdr:col>
      <xdr:colOff>514350</xdr:colOff>
      <xdr:row>6</xdr:row>
      <xdr:rowOff>28575</xdr:rowOff>
    </xdr:to>
    <xdr:sp macro="" textlink="">
      <xdr:nvSpPr>
        <xdr:cNvPr id="16" name="TextBox 15">
          <a:extLst>
            <a:ext uri="{FF2B5EF4-FFF2-40B4-BE49-F238E27FC236}">
              <a16:creationId xmlns:a16="http://schemas.microsoft.com/office/drawing/2014/main" id="{35B072AD-A0F0-40A4-822B-9C30907D3A77}"/>
            </a:ext>
          </a:extLst>
        </xdr:cNvPr>
        <xdr:cNvSpPr txBox="1"/>
      </xdr:nvSpPr>
      <xdr:spPr>
        <a:xfrm>
          <a:off x="7534275" y="914400"/>
          <a:ext cx="1257300" cy="257175"/>
        </a:xfrm>
        <a:prstGeom prst="rect">
          <a:avLst/>
        </a:prstGeom>
        <a:solidFill>
          <a:schemeClr val="bg2">
            <a:lumMod val="6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ln>
                <a:noFill/>
              </a:ln>
            </a:rPr>
            <a:t>Average Salary</a:t>
          </a:r>
        </a:p>
      </xdr:txBody>
    </xdr:sp>
    <xdr:clientData/>
  </xdr:twoCellAnchor>
  <xdr:twoCellAnchor>
    <xdr:from>
      <xdr:col>1</xdr:col>
      <xdr:colOff>333375</xdr:colOff>
      <xdr:row>3</xdr:row>
      <xdr:rowOff>47625</xdr:rowOff>
    </xdr:from>
    <xdr:to>
      <xdr:col>2</xdr:col>
      <xdr:colOff>428625</xdr:colOff>
      <xdr:row>4</xdr:row>
      <xdr:rowOff>171450</xdr:rowOff>
    </xdr:to>
    <xdr:sp macro="" textlink="KPIs!A7">
      <xdr:nvSpPr>
        <xdr:cNvPr id="17" name="TextBox 16">
          <a:extLst>
            <a:ext uri="{FF2B5EF4-FFF2-40B4-BE49-F238E27FC236}">
              <a16:creationId xmlns:a16="http://schemas.microsoft.com/office/drawing/2014/main" id="{763CF25F-C5E5-9C9D-5472-A87332E31E04}"/>
            </a:ext>
          </a:extLst>
        </xdr:cNvPr>
        <xdr:cNvSpPr txBox="1"/>
      </xdr:nvSpPr>
      <xdr:spPr>
        <a:xfrm>
          <a:off x="495300" y="619125"/>
          <a:ext cx="914400" cy="314325"/>
        </a:xfrm>
        <a:prstGeom prst="rect">
          <a:avLst/>
        </a:prstGeom>
        <a:solidFill>
          <a:schemeClr val="bg2">
            <a:lumMod val="65000"/>
          </a:schemeClr>
        </a:solidFill>
        <a:ln>
          <a:noFill/>
        </a:ln>
      </xdr:spPr>
      <xdr:style>
        <a:lnRef idx="2">
          <a:schemeClr val="accent3"/>
        </a:lnRef>
        <a:fillRef idx="1">
          <a:schemeClr val="lt1"/>
        </a:fillRef>
        <a:effectRef idx="0">
          <a:schemeClr val="accent3"/>
        </a:effectRef>
        <a:fontRef idx="minor">
          <a:schemeClr val="dk1"/>
        </a:fontRef>
      </xdr:style>
      <xdr:txBody>
        <a:bodyPr vertOverflow="clip" horzOverflow="clip" wrap="square" rtlCol="0" anchor="ctr"/>
        <a:lstStyle/>
        <a:p>
          <a:pPr algn="ctr"/>
          <a:fld id="{F34BDA7C-B0AD-4D56-BA44-3C24EACF929C}" type="TxLink">
            <a:rPr lang="en-US" sz="1800" b="1" i="0" u="none" strike="noStrike">
              <a:solidFill>
                <a:schemeClr val="bg1"/>
              </a:solidFill>
              <a:latin typeface="Calibri"/>
              <a:ea typeface="Calibri"/>
              <a:cs typeface="Calibri"/>
            </a:rPr>
            <a:pPr algn="ctr"/>
            <a:t>411</a:t>
          </a:fld>
          <a:endParaRPr lang="en-US" sz="1800" b="1">
            <a:solidFill>
              <a:schemeClr val="bg1"/>
            </a:solidFill>
          </a:endParaRPr>
        </a:p>
      </xdr:txBody>
    </xdr:sp>
    <xdr:clientData/>
  </xdr:twoCellAnchor>
  <xdr:twoCellAnchor>
    <xdr:from>
      <xdr:col>3</xdr:col>
      <xdr:colOff>781050</xdr:colOff>
      <xdr:row>3</xdr:row>
      <xdr:rowOff>57150</xdr:rowOff>
    </xdr:from>
    <xdr:to>
      <xdr:col>5</xdr:col>
      <xdr:colOff>428625</xdr:colOff>
      <xdr:row>4</xdr:row>
      <xdr:rowOff>133350</xdr:rowOff>
    </xdr:to>
    <xdr:sp macro="" textlink="KPIs!I6">
      <xdr:nvSpPr>
        <xdr:cNvPr id="18" name="TextBox 17">
          <a:extLst>
            <a:ext uri="{FF2B5EF4-FFF2-40B4-BE49-F238E27FC236}">
              <a16:creationId xmlns:a16="http://schemas.microsoft.com/office/drawing/2014/main" id="{E0590172-A1CD-43F9-B19C-AD8584C8268A}"/>
            </a:ext>
          </a:extLst>
        </xdr:cNvPr>
        <xdr:cNvSpPr txBox="1"/>
      </xdr:nvSpPr>
      <xdr:spPr>
        <a:xfrm>
          <a:off x="2581275" y="628650"/>
          <a:ext cx="1285875" cy="266700"/>
        </a:xfrm>
        <a:prstGeom prst="rect">
          <a:avLst/>
        </a:prstGeom>
        <a:solidFill>
          <a:schemeClr val="bg2">
            <a:lumMod val="65000"/>
          </a:schemeClr>
        </a:solidFill>
        <a:ln>
          <a:noFill/>
        </a:ln>
      </xdr:spPr>
      <xdr:style>
        <a:lnRef idx="2">
          <a:schemeClr val="accent3"/>
        </a:lnRef>
        <a:fillRef idx="1">
          <a:schemeClr val="lt1"/>
        </a:fillRef>
        <a:effectRef idx="0">
          <a:schemeClr val="accent3"/>
        </a:effectRef>
        <a:fontRef idx="minor">
          <a:schemeClr val="dk1"/>
        </a:fontRef>
      </xdr:style>
      <xdr:txBody>
        <a:bodyPr vertOverflow="clip" horzOverflow="clip" wrap="square" rtlCol="0" anchor="ctr"/>
        <a:lstStyle/>
        <a:p>
          <a:pPr algn="ctr"/>
          <a:fld id="{116A327B-EF6E-4233-B56D-55A8B4088B91}" type="TxLink">
            <a:rPr lang="en-US" sz="1400" b="1" i="0" u="none" strike="noStrike">
              <a:solidFill>
                <a:schemeClr val="bg1"/>
              </a:solidFill>
              <a:latin typeface="Calibri"/>
              <a:ea typeface="Calibri"/>
              <a:cs typeface="Calibri"/>
            </a:rPr>
            <a:t> 6,559,800 </a:t>
          </a:fld>
          <a:endParaRPr lang="en-US" sz="2400" b="1">
            <a:solidFill>
              <a:schemeClr val="bg1"/>
            </a:solidFill>
          </a:endParaRPr>
        </a:p>
      </xdr:txBody>
    </xdr:sp>
    <xdr:clientData/>
  </xdr:twoCellAnchor>
  <xdr:twoCellAnchor>
    <xdr:from>
      <xdr:col>7</xdr:col>
      <xdr:colOff>38100</xdr:colOff>
      <xdr:row>3</xdr:row>
      <xdr:rowOff>19050</xdr:rowOff>
    </xdr:from>
    <xdr:to>
      <xdr:col>8</xdr:col>
      <xdr:colOff>504825</xdr:colOff>
      <xdr:row>4</xdr:row>
      <xdr:rowOff>142875</xdr:rowOff>
    </xdr:to>
    <xdr:sp macro="" textlink="KPIs!K52">
      <xdr:nvSpPr>
        <xdr:cNvPr id="19" name="TextBox 18">
          <a:extLst>
            <a:ext uri="{FF2B5EF4-FFF2-40B4-BE49-F238E27FC236}">
              <a16:creationId xmlns:a16="http://schemas.microsoft.com/office/drawing/2014/main" id="{CBFDF970-928C-428E-9A56-2A89B2A2DF87}"/>
            </a:ext>
          </a:extLst>
        </xdr:cNvPr>
        <xdr:cNvSpPr txBox="1"/>
      </xdr:nvSpPr>
      <xdr:spPr>
        <a:xfrm>
          <a:off x="5114925" y="590550"/>
          <a:ext cx="1285875" cy="314325"/>
        </a:xfrm>
        <a:prstGeom prst="rect">
          <a:avLst/>
        </a:prstGeom>
        <a:solidFill>
          <a:schemeClr val="bg2">
            <a:lumMod val="65000"/>
          </a:schemeClr>
        </a:solidFill>
        <a:ln>
          <a:noFill/>
        </a:ln>
      </xdr:spPr>
      <xdr:style>
        <a:lnRef idx="2">
          <a:schemeClr val="accent3"/>
        </a:lnRef>
        <a:fillRef idx="1">
          <a:schemeClr val="lt1"/>
        </a:fillRef>
        <a:effectRef idx="0">
          <a:schemeClr val="accent3"/>
        </a:effectRef>
        <a:fontRef idx="minor">
          <a:schemeClr val="dk1"/>
        </a:fontRef>
      </xdr:style>
      <xdr:txBody>
        <a:bodyPr vertOverflow="clip" horzOverflow="clip" wrap="square" rtlCol="0" anchor="ctr"/>
        <a:lstStyle/>
        <a:p>
          <a:pPr algn="ctr"/>
          <a:fld id="{A1CDED8A-999A-4230-BEEA-A5B6043A13F0}" type="TxLink">
            <a:rPr lang="en-US" sz="1400" b="1" i="0" u="none" strike="noStrike">
              <a:solidFill>
                <a:schemeClr val="bg1"/>
              </a:solidFill>
              <a:latin typeface="Calibri"/>
              <a:ea typeface="Calibri"/>
              <a:cs typeface="Calibri"/>
            </a:rPr>
            <a:t> 409 </a:t>
          </a:fld>
          <a:endParaRPr lang="en-US" sz="2400" b="1">
            <a:solidFill>
              <a:schemeClr val="bg1"/>
            </a:solidFill>
          </a:endParaRPr>
        </a:p>
      </xdr:txBody>
    </xdr:sp>
    <xdr:clientData/>
  </xdr:twoCellAnchor>
  <xdr:twoCellAnchor>
    <xdr:from>
      <xdr:col>10</xdr:col>
      <xdr:colOff>9525</xdr:colOff>
      <xdr:row>3</xdr:row>
      <xdr:rowOff>47625</xdr:rowOff>
    </xdr:from>
    <xdr:to>
      <xdr:col>11</xdr:col>
      <xdr:colOff>476250</xdr:colOff>
      <xdr:row>4</xdr:row>
      <xdr:rowOff>142875</xdr:rowOff>
    </xdr:to>
    <xdr:sp macro="" textlink="KPIs!A46">
      <xdr:nvSpPr>
        <xdr:cNvPr id="20" name="TextBox 19">
          <a:extLst>
            <a:ext uri="{FF2B5EF4-FFF2-40B4-BE49-F238E27FC236}">
              <a16:creationId xmlns:a16="http://schemas.microsoft.com/office/drawing/2014/main" id="{788D8092-8834-4001-ACF0-EBA457641A77}"/>
            </a:ext>
          </a:extLst>
        </xdr:cNvPr>
        <xdr:cNvSpPr txBox="1"/>
      </xdr:nvSpPr>
      <xdr:spPr>
        <a:xfrm>
          <a:off x="7467600" y="619125"/>
          <a:ext cx="1285875" cy="285750"/>
        </a:xfrm>
        <a:prstGeom prst="rect">
          <a:avLst/>
        </a:prstGeom>
        <a:solidFill>
          <a:schemeClr val="bg2">
            <a:lumMod val="65000"/>
          </a:schemeClr>
        </a:solidFill>
        <a:ln>
          <a:noFill/>
        </a:ln>
      </xdr:spPr>
      <xdr:style>
        <a:lnRef idx="2">
          <a:schemeClr val="accent3"/>
        </a:lnRef>
        <a:fillRef idx="1">
          <a:schemeClr val="lt1"/>
        </a:fillRef>
        <a:effectRef idx="0">
          <a:schemeClr val="accent3"/>
        </a:effectRef>
        <a:fontRef idx="minor">
          <a:schemeClr val="dk1"/>
        </a:fontRef>
      </xdr:style>
      <xdr:txBody>
        <a:bodyPr vertOverflow="clip" horzOverflow="clip" wrap="square" rtlCol="0" anchor="ctr"/>
        <a:lstStyle/>
        <a:p>
          <a:pPr algn="ctr"/>
          <a:fld id="{A4AB5607-E1DD-450D-A198-C0EF6B741858}" type="TxLink">
            <a:rPr lang="en-US" sz="1400" b="1" i="0" u="none" strike="noStrike">
              <a:solidFill>
                <a:schemeClr val="bg1"/>
              </a:solidFill>
              <a:latin typeface="Calibri"/>
              <a:ea typeface="Calibri"/>
              <a:cs typeface="Calibri"/>
            </a:rPr>
            <a:t> 15,968 </a:t>
          </a:fld>
          <a:endParaRPr lang="en-US" sz="2400" b="1">
            <a:solidFill>
              <a:schemeClr val="bg1"/>
            </a:solidFill>
          </a:endParaRPr>
        </a:p>
      </xdr:txBody>
    </xdr:sp>
    <xdr:clientData/>
  </xdr:twoCellAnchor>
  <xdr:twoCellAnchor editAs="oneCell">
    <xdr:from>
      <xdr:col>9</xdr:col>
      <xdr:colOff>419099</xdr:colOff>
      <xdr:row>7</xdr:row>
      <xdr:rowOff>1</xdr:rowOff>
    </xdr:from>
    <xdr:to>
      <xdr:col>11</xdr:col>
      <xdr:colOff>876300</xdr:colOff>
      <xdr:row>11</xdr:row>
      <xdr:rowOff>114301</xdr:rowOff>
    </xdr:to>
    <mc:AlternateContent xmlns:mc="http://schemas.openxmlformats.org/markup-compatibility/2006">
      <mc:Choice xmlns:a14="http://schemas.microsoft.com/office/drawing/2010/main" Requires="a14">
        <xdr:graphicFrame macro="">
          <xdr:nvGraphicFramePr>
            <xdr:cNvPr id="21" name="Gender">
              <a:extLst>
                <a:ext uri="{FF2B5EF4-FFF2-40B4-BE49-F238E27FC236}">
                  <a16:creationId xmlns:a16="http://schemas.microsoft.com/office/drawing/2014/main" id="{1E28E8E5-6DFD-463E-91C1-7DBEFACEA95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7058024" y="1333501"/>
              <a:ext cx="2095501" cy="876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419100</xdr:colOff>
      <xdr:row>23</xdr:row>
      <xdr:rowOff>171450</xdr:rowOff>
    </xdr:from>
    <xdr:to>
      <xdr:col>11</xdr:col>
      <xdr:colOff>876300</xdr:colOff>
      <xdr:row>33</xdr:row>
      <xdr:rowOff>9525</xdr:rowOff>
    </xdr:to>
    <mc:AlternateContent xmlns:mc="http://schemas.openxmlformats.org/markup-compatibility/2006">
      <mc:Choice xmlns:a14="http://schemas.microsoft.com/office/drawing/2010/main" Requires="a14">
        <xdr:graphicFrame macro="">
          <xdr:nvGraphicFramePr>
            <xdr:cNvPr id="22" name="Department 1">
              <a:extLst>
                <a:ext uri="{FF2B5EF4-FFF2-40B4-BE49-F238E27FC236}">
                  <a16:creationId xmlns:a16="http://schemas.microsoft.com/office/drawing/2014/main" id="{FC2AD836-7F63-4C09-9811-8567FFF3E839}"/>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7058025" y="4552950"/>
              <a:ext cx="2095500" cy="1743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419100</xdr:colOff>
      <xdr:row>17</xdr:row>
      <xdr:rowOff>180975</xdr:rowOff>
    </xdr:from>
    <xdr:to>
      <xdr:col>11</xdr:col>
      <xdr:colOff>876300</xdr:colOff>
      <xdr:row>23</xdr:row>
      <xdr:rowOff>152400</xdr:rowOff>
    </xdr:to>
    <mc:AlternateContent xmlns:mc="http://schemas.openxmlformats.org/markup-compatibility/2006">
      <mc:Choice xmlns:a14="http://schemas.microsoft.com/office/drawing/2010/main" Requires="a14">
        <xdr:graphicFrame macro="">
          <xdr:nvGraphicFramePr>
            <xdr:cNvPr id="23" name="Employee Category 1">
              <a:extLst>
                <a:ext uri="{FF2B5EF4-FFF2-40B4-BE49-F238E27FC236}">
                  <a16:creationId xmlns:a16="http://schemas.microsoft.com/office/drawing/2014/main" id="{0ED99913-9D4A-4431-9166-F81FBB26975D}"/>
                </a:ext>
              </a:extLst>
            </xdr:cNvPr>
            <xdr:cNvGraphicFramePr/>
          </xdr:nvGraphicFramePr>
          <xdr:xfrm>
            <a:off x="0" y="0"/>
            <a:ext cx="0" cy="0"/>
          </xdr:xfrm>
          <a:graphic>
            <a:graphicData uri="http://schemas.microsoft.com/office/drawing/2010/slicer">
              <sle:slicer xmlns:sle="http://schemas.microsoft.com/office/drawing/2010/slicer" name="Employee Category 1"/>
            </a:graphicData>
          </a:graphic>
        </xdr:graphicFrame>
      </mc:Choice>
      <mc:Fallback>
        <xdr:sp macro="" textlink="">
          <xdr:nvSpPr>
            <xdr:cNvPr id="0" name=""/>
            <xdr:cNvSpPr>
              <a:spLocks noTextEdit="1"/>
            </xdr:cNvSpPr>
          </xdr:nvSpPr>
          <xdr:spPr>
            <a:xfrm>
              <a:off x="7058025" y="3419475"/>
              <a:ext cx="2095500" cy="1114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428624</xdr:colOff>
      <xdr:row>11</xdr:row>
      <xdr:rowOff>142875</xdr:rowOff>
    </xdr:from>
    <xdr:to>
      <xdr:col>11</xdr:col>
      <xdr:colOff>876299</xdr:colOff>
      <xdr:row>17</xdr:row>
      <xdr:rowOff>171450</xdr:rowOff>
    </xdr:to>
    <mc:AlternateContent xmlns:mc="http://schemas.openxmlformats.org/markup-compatibility/2006">
      <mc:Choice xmlns:a14="http://schemas.microsoft.com/office/drawing/2010/main" Requires="a14">
        <xdr:graphicFrame macro="">
          <xdr:nvGraphicFramePr>
            <xdr:cNvPr id="24" name="Working status 1">
              <a:extLst>
                <a:ext uri="{FF2B5EF4-FFF2-40B4-BE49-F238E27FC236}">
                  <a16:creationId xmlns:a16="http://schemas.microsoft.com/office/drawing/2014/main" id="{53720F50-27D0-464D-BDE9-6BBD17B8A915}"/>
                </a:ext>
              </a:extLst>
            </xdr:cNvPr>
            <xdr:cNvGraphicFramePr/>
          </xdr:nvGraphicFramePr>
          <xdr:xfrm>
            <a:off x="0" y="0"/>
            <a:ext cx="0" cy="0"/>
          </xdr:xfrm>
          <a:graphic>
            <a:graphicData uri="http://schemas.microsoft.com/office/drawing/2010/slicer">
              <sle:slicer xmlns:sle="http://schemas.microsoft.com/office/drawing/2010/slicer" name="Working status 1"/>
            </a:graphicData>
          </a:graphic>
        </xdr:graphicFrame>
      </mc:Choice>
      <mc:Fallback>
        <xdr:sp macro="" textlink="">
          <xdr:nvSpPr>
            <xdr:cNvPr id="0" name=""/>
            <xdr:cNvSpPr>
              <a:spLocks noTextEdit="1"/>
            </xdr:cNvSpPr>
          </xdr:nvSpPr>
          <xdr:spPr>
            <a:xfrm>
              <a:off x="7067549" y="2238375"/>
              <a:ext cx="2085975" cy="1171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76200</xdr:colOff>
      <xdr:row>8</xdr:row>
      <xdr:rowOff>95249</xdr:rowOff>
    </xdr:from>
    <xdr:to>
      <xdr:col>5</xdr:col>
      <xdr:colOff>85726</xdr:colOff>
      <xdr:row>18</xdr:row>
      <xdr:rowOff>161925</xdr:rowOff>
    </xdr:to>
    <xdr:sp macro="" textlink="">
      <xdr:nvSpPr>
        <xdr:cNvPr id="25" name="Rectangle: Rounded Corners 24">
          <a:extLst>
            <a:ext uri="{FF2B5EF4-FFF2-40B4-BE49-F238E27FC236}">
              <a16:creationId xmlns:a16="http://schemas.microsoft.com/office/drawing/2014/main" id="{AF62439F-7E15-993F-81AE-FC4D46D9C5DD}"/>
            </a:ext>
          </a:extLst>
        </xdr:cNvPr>
        <xdr:cNvSpPr/>
      </xdr:nvSpPr>
      <xdr:spPr>
        <a:xfrm>
          <a:off x="238125" y="1619249"/>
          <a:ext cx="3286126" cy="1971676"/>
        </a:xfrm>
        <a:prstGeom prst="roundRect">
          <a:avLst/>
        </a:prstGeom>
        <a:ln w="19050">
          <a:solidFill>
            <a:schemeClr val="bg1"/>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5</xdr:col>
      <xdr:colOff>266700</xdr:colOff>
      <xdr:row>8</xdr:row>
      <xdr:rowOff>114299</xdr:rowOff>
    </xdr:from>
    <xdr:to>
      <xdr:col>9</xdr:col>
      <xdr:colOff>266700</xdr:colOff>
      <xdr:row>18</xdr:row>
      <xdr:rowOff>171450</xdr:rowOff>
    </xdr:to>
    <xdr:sp macro="" textlink="">
      <xdr:nvSpPr>
        <xdr:cNvPr id="26" name="Rectangle: Rounded Corners 25">
          <a:extLst>
            <a:ext uri="{FF2B5EF4-FFF2-40B4-BE49-F238E27FC236}">
              <a16:creationId xmlns:a16="http://schemas.microsoft.com/office/drawing/2014/main" id="{32DE9AC2-8D11-4099-A0B1-104ADE5FAD5F}"/>
            </a:ext>
          </a:extLst>
        </xdr:cNvPr>
        <xdr:cNvSpPr/>
      </xdr:nvSpPr>
      <xdr:spPr>
        <a:xfrm>
          <a:off x="3705225" y="1638299"/>
          <a:ext cx="3276600" cy="1962151"/>
        </a:xfrm>
        <a:prstGeom prst="roundRect">
          <a:avLst/>
        </a:prstGeom>
        <a:gradFill>
          <a:gsLst>
            <a:gs pos="38000">
              <a:srgbClr val="D0D0D0"/>
            </a:gs>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gradFill>
        <a:ln w="19050">
          <a:solidFill>
            <a:schemeClr val="bg1"/>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285750</xdr:colOff>
      <xdr:row>7</xdr:row>
      <xdr:rowOff>19051</xdr:rowOff>
    </xdr:from>
    <xdr:to>
      <xdr:col>4</xdr:col>
      <xdr:colOff>790575</xdr:colOff>
      <xdr:row>8</xdr:row>
      <xdr:rowOff>57151</xdr:rowOff>
    </xdr:to>
    <xdr:sp macro="" textlink="">
      <xdr:nvSpPr>
        <xdr:cNvPr id="27" name="TextBox 26">
          <a:extLst>
            <a:ext uri="{FF2B5EF4-FFF2-40B4-BE49-F238E27FC236}">
              <a16:creationId xmlns:a16="http://schemas.microsoft.com/office/drawing/2014/main" id="{FDEEB7ED-E6A8-7205-0598-77E4DDF472CF}"/>
            </a:ext>
          </a:extLst>
        </xdr:cNvPr>
        <xdr:cNvSpPr txBox="1"/>
      </xdr:nvSpPr>
      <xdr:spPr>
        <a:xfrm>
          <a:off x="447675" y="1352551"/>
          <a:ext cx="2962275" cy="228600"/>
        </a:xfrm>
        <a:prstGeom prst="rect">
          <a:avLst/>
        </a:prstGeom>
        <a:solidFill>
          <a:schemeClr val="tx1">
            <a:lumMod val="65000"/>
            <a:lumOff val="35000"/>
          </a:schemeClr>
        </a:solidFill>
        <a:ln>
          <a:noFill/>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lstStyle/>
        <a:p>
          <a:pPr algn="ctr"/>
          <a:r>
            <a:rPr lang="en-US" sz="1400" b="1">
              <a:solidFill>
                <a:schemeClr val="bg1"/>
              </a:solidFill>
            </a:rPr>
            <a:t>Employee by Department</a:t>
          </a:r>
        </a:p>
      </xdr:txBody>
    </xdr:sp>
    <xdr:clientData/>
  </xdr:twoCellAnchor>
  <xdr:twoCellAnchor>
    <xdr:from>
      <xdr:col>5</xdr:col>
      <xdr:colOff>352425</xdr:colOff>
      <xdr:row>7</xdr:row>
      <xdr:rowOff>28576</xdr:rowOff>
    </xdr:from>
    <xdr:to>
      <xdr:col>9</xdr:col>
      <xdr:colOff>38100</xdr:colOff>
      <xdr:row>8</xdr:row>
      <xdr:rowOff>66676</xdr:rowOff>
    </xdr:to>
    <xdr:sp macro="" textlink="">
      <xdr:nvSpPr>
        <xdr:cNvPr id="28" name="TextBox 27">
          <a:extLst>
            <a:ext uri="{FF2B5EF4-FFF2-40B4-BE49-F238E27FC236}">
              <a16:creationId xmlns:a16="http://schemas.microsoft.com/office/drawing/2014/main" id="{D3756A8C-1D46-42F0-9D0A-5DE1E4361030}"/>
            </a:ext>
          </a:extLst>
        </xdr:cNvPr>
        <xdr:cNvSpPr txBox="1"/>
      </xdr:nvSpPr>
      <xdr:spPr>
        <a:xfrm>
          <a:off x="3790950" y="1362076"/>
          <a:ext cx="2962275" cy="228600"/>
        </a:xfrm>
        <a:prstGeom prst="rect">
          <a:avLst/>
        </a:prstGeom>
        <a:solidFill>
          <a:schemeClr val="tx1">
            <a:lumMod val="65000"/>
            <a:lumOff val="35000"/>
          </a:schemeClr>
        </a:solidFill>
        <a:ln>
          <a:noFill/>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lstStyle/>
        <a:p>
          <a:pPr algn="ctr"/>
          <a:r>
            <a:rPr lang="en-US" sz="1400" b="1">
              <a:solidFill>
                <a:schemeClr val="bg1"/>
              </a:solidFill>
            </a:rPr>
            <a:t>Gender</a:t>
          </a:r>
          <a:r>
            <a:rPr lang="en-US" sz="1400" b="1" baseline="0">
              <a:solidFill>
                <a:schemeClr val="bg1"/>
              </a:solidFill>
            </a:rPr>
            <a:t> Distribution</a:t>
          </a:r>
          <a:endParaRPr lang="en-US" sz="1400" b="1">
            <a:solidFill>
              <a:schemeClr val="bg1"/>
            </a:solidFill>
          </a:endParaRPr>
        </a:p>
      </xdr:txBody>
    </xdr:sp>
    <xdr:clientData/>
  </xdr:twoCellAnchor>
  <xdr:twoCellAnchor>
    <xdr:from>
      <xdr:col>1</xdr:col>
      <xdr:colOff>133349</xdr:colOff>
      <xdr:row>9</xdr:row>
      <xdr:rowOff>85726</xdr:rowOff>
    </xdr:from>
    <xdr:to>
      <xdr:col>4</xdr:col>
      <xdr:colOff>704850</xdr:colOff>
      <xdr:row>17</xdr:row>
      <xdr:rowOff>142875</xdr:rowOff>
    </xdr:to>
    <xdr:graphicFrame macro="">
      <xdr:nvGraphicFramePr>
        <xdr:cNvPr id="29" name="Chart 28">
          <a:extLst>
            <a:ext uri="{FF2B5EF4-FFF2-40B4-BE49-F238E27FC236}">
              <a16:creationId xmlns:a16="http://schemas.microsoft.com/office/drawing/2014/main" id="{A51AAF8C-6C81-4050-B637-5DE842DCC5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323851</xdr:colOff>
      <xdr:row>8</xdr:row>
      <xdr:rowOff>123825</xdr:rowOff>
    </xdr:from>
    <xdr:to>
      <xdr:col>9</xdr:col>
      <xdr:colOff>76201</xdr:colOff>
      <xdr:row>17</xdr:row>
      <xdr:rowOff>161925</xdr:rowOff>
    </xdr:to>
    <xdr:graphicFrame macro="">
      <xdr:nvGraphicFramePr>
        <xdr:cNvPr id="30" name="Chart 29">
          <a:extLst>
            <a:ext uri="{FF2B5EF4-FFF2-40B4-BE49-F238E27FC236}">
              <a16:creationId xmlns:a16="http://schemas.microsoft.com/office/drawing/2014/main" id="{D266DCF9-1191-40F6-9D6F-FF3989C4A0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85725</xdr:colOff>
      <xdr:row>22</xdr:row>
      <xdr:rowOff>152399</xdr:rowOff>
    </xdr:from>
    <xdr:to>
      <xdr:col>5</xdr:col>
      <xdr:colOff>95251</xdr:colOff>
      <xdr:row>33</xdr:row>
      <xdr:rowOff>28575</xdr:rowOff>
    </xdr:to>
    <xdr:sp macro="" textlink="">
      <xdr:nvSpPr>
        <xdr:cNvPr id="32" name="Rectangle: Rounded Corners 31">
          <a:extLst>
            <a:ext uri="{FF2B5EF4-FFF2-40B4-BE49-F238E27FC236}">
              <a16:creationId xmlns:a16="http://schemas.microsoft.com/office/drawing/2014/main" id="{E9D51276-3B83-4A5D-94E7-0E92B025A8DD}"/>
            </a:ext>
          </a:extLst>
        </xdr:cNvPr>
        <xdr:cNvSpPr/>
      </xdr:nvSpPr>
      <xdr:spPr>
        <a:xfrm>
          <a:off x="247650" y="4343399"/>
          <a:ext cx="3286126" cy="1971676"/>
        </a:xfrm>
        <a:prstGeom prst="roundRect">
          <a:avLst/>
        </a:prstGeom>
        <a:ln w="19050">
          <a:solidFill>
            <a:schemeClr val="bg1"/>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5</xdr:col>
      <xdr:colOff>247650</xdr:colOff>
      <xdr:row>22</xdr:row>
      <xdr:rowOff>123824</xdr:rowOff>
    </xdr:from>
    <xdr:to>
      <xdr:col>9</xdr:col>
      <xdr:colOff>257176</xdr:colOff>
      <xdr:row>33</xdr:row>
      <xdr:rowOff>0</xdr:rowOff>
    </xdr:to>
    <xdr:sp macro="" textlink="">
      <xdr:nvSpPr>
        <xdr:cNvPr id="33" name="Rectangle: Rounded Corners 32">
          <a:extLst>
            <a:ext uri="{FF2B5EF4-FFF2-40B4-BE49-F238E27FC236}">
              <a16:creationId xmlns:a16="http://schemas.microsoft.com/office/drawing/2014/main" id="{0879D076-97D8-4D22-8F3B-DE6A1DCA21E6}"/>
            </a:ext>
          </a:extLst>
        </xdr:cNvPr>
        <xdr:cNvSpPr/>
      </xdr:nvSpPr>
      <xdr:spPr>
        <a:xfrm>
          <a:off x="3686175" y="4314824"/>
          <a:ext cx="3286126" cy="1971676"/>
        </a:xfrm>
        <a:prstGeom prst="roundRect">
          <a:avLst/>
        </a:prstGeom>
        <a:ln w="19050">
          <a:solidFill>
            <a:schemeClr val="bg1"/>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5</xdr:col>
      <xdr:colOff>485775</xdr:colOff>
      <xdr:row>20</xdr:row>
      <xdr:rowOff>180976</xdr:rowOff>
    </xdr:from>
    <xdr:to>
      <xdr:col>9</xdr:col>
      <xdr:colOff>171450</xdr:colOff>
      <xdr:row>22</xdr:row>
      <xdr:rowOff>28576</xdr:rowOff>
    </xdr:to>
    <xdr:sp macro="" textlink="">
      <xdr:nvSpPr>
        <xdr:cNvPr id="34" name="TextBox 33">
          <a:extLst>
            <a:ext uri="{FF2B5EF4-FFF2-40B4-BE49-F238E27FC236}">
              <a16:creationId xmlns:a16="http://schemas.microsoft.com/office/drawing/2014/main" id="{8A32E79A-0DA2-4F6C-846B-5D8C069FCF50}"/>
            </a:ext>
          </a:extLst>
        </xdr:cNvPr>
        <xdr:cNvSpPr txBox="1"/>
      </xdr:nvSpPr>
      <xdr:spPr>
        <a:xfrm>
          <a:off x="3924300" y="3990976"/>
          <a:ext cx="2962275" cy="228600"/>
        </a:xfrm>
        <a:prstGeom prst="rect">
          <a:avLst/>
        </a:prstGeom>
        <a:solidFill>
          <a:schemeClr val="tx1">
            <a:lumMod val="65000"/>
            <a:lumOff val="35000"/>
          </a:schemeClr>
        </a:solidFill>
        <a:ln>
          <a:noFill/>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lstStyle/>
        <a:p>
          <a:pPr algn="ctr"/>
          <a:r>
            <a:rPr lang="en-US" sz="1400" b="1">
              <a:solidFill>
                <a:schemeClr val="bg1"/>
              </a:solidFill>
            </a:rPr>
            <a:t>Average</a:t>
          </a:r>
          <a:r>
            <a:rPr lang="en-US" sz="1400" b="1" baseline="0">
              <a:solidFill>
                <a:schemeClr val="bg1"/>
              </a:solidFill>
            </a:rPr>
            <a:t> Salary by Department</a:t>
          </a:r>
          <a:endParaRPr lang="en-US" sz="1400" b="1">
            <a:solidFill>
              <a:schemeClr val="bg1"/>
            </a:solidFill>
          </a:endParaRPr>
        </a:p>
      </xdr:txBody>
    </xdr:sp>
    <xdr:clientData/>
  </xdr:twoCellAnchor>
  <xdr:twoCellAnchor>
    <xdr:from>
      <xdr:col>1</xdr:col>
      <xdr:colOff>171450</xdr:colOff>
      <xdr:row>20</xdr:row>
      <xdr:rowOff>152401</xdr:rowOff>
    </xdr:from>
    <xdr:to>
      <xdr:col>4</xdr:col>
      <xdr:colOff>676275</xdr:colOff>
      <xdr:row>22</xdr:row>
      <xdr:rowOff>1</xdr:rowOff>
    </xdr:to>
    <xdr:sp macro="" textlink="">
      <xdr:nvSpPr>
        <xdr:cNvPr id="35" name="TextBox 34">
          <a:extLst>
            <a:ext uri="{FF2B5EF4-FFF2-40B4-BE49-F238E27FC236}">
              <a16:creationId xmlns:a16="http://schemas.microsoft.com/office/drawing/2014/main" id="{2D4AA4DA-9EB0-4B22-90E8-BAA59704A252}"/>
            </a:ext>
          </a:extLst>
        </xdr:cNvPr>
        <xdr:cNvSpPr txBox="1"/>
      </xdr:nvSpPr>
      <xdr:spPr>
        <a:xfrm>
          <a:off x="333375" y="3962401"/>
          <a:ext cx="2962275" cy="228600"/>
        </a:xfrm>
        <a:prstGeom prst="rect">
          <a:avLst/>
        </a:prstGeom>
        <a:solidFill>
          <a:schemeClr val="tx1">
            <a:lumMod val="65000"/>
            <a:lumOff val="35000"/>
          </a:schemeClr>
        </a:solidFill>
        <a:ln>
          <a:noFill/>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lstStyle/>
        <a:p>
          <a:pPr algn="ctr"/>
          <a:r>
            <a:rPr lang="en-US" sz="1400" b="1">
              <a:solidFill>
                <a:schemeClr val="bg1"/>
              </a:solidFill>
            </a:rPr>
            <a:t>Employee Joined by months</a:t>
          </a:r>
        </a:p>
      </xdr:txBody>
    </xdr:sp>
    <xdr:clientData/>
  </xdr:twoCellAnchor>
  <xdr:twoCellAnchor>
    <xdr:from>
      <xdr:col>1</xdr:col>
      <xdr:colOff>95250</xdr:colOff>
      <xdr:row>23</xdr:row>
      <xdr:rowOff>0</xdr:rowOff>
    </xdr:from>
    <xdr:to>
      <xdr:col>5</xdr:col>
      <xdr:colOff>66675</xdr:colOff>
      <xdr:row>32</xdr:row>
      <xdr:rowOff>180975</xdr:rowOff>
    </xdr:to>
    <xdr:graphicFrame macro="">
      <xdr:nvGraphicFramePr>
        <xdr:cNvPr id="36" name="Chart 35">
          <a:extLst>
            <a:ext uri="{FF2B5EF4-FFF2-40B4-BE49-F238E27FC236}">
              <a16:creationId xmlns:a16="http://schemas.microsoft.com/office/drawing/2014/main" id="{18830B69-1FAF-4C9C-A219-B12E9E36FD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257175</xdr:colOff>
      <xdr:row>22</xdr:row>
      <xdr:rowOff>114301</xdr:rowOff>
    </xdr:from>
    <xdr:to>
      <xdr:col>9</xdr:col>
      <xdr:colOff>371475</xdr:colOff>
      <xdr:row>33</xdr:row>
      <xdr:rowOff>38101</xdr:rowOff>
    </xdr:to>
    <xdr:graphicFrame macro="">
      <xdr:nvGraphicFramePr>
        <xdr:cNvPr id="37" name="Chart 36">
          <a:extLst>
            <a:ext uri="{FF2B5EF4-FFF2-40B4-BE49-F238E27FC236}">
              <a16:creationId xmlns:a16="http://schemas.microsoft.com/office/drawing/2014/main" id="{27D87490-628F-47BC-92AA-0994815A55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409575</xdr:colOff>
      <xdr:row>8</xdr:row>
      <xdr:rowOff>142875</xdr:rowOff>
    </xdr:from>
    <xdr:to>
      <xdr:col>9</xdr:col>
      <xdr:colOff>132658</xdr:colOff>
      <xdr:row>11</xdr:row>
      <xdr:rowOff>123825</xdr:rowOff>
    </xdr:to>
    <xdr:pic>
      <xdr:nvPicPr>
        <xdr:cNvPr id="38" name="Graphic 37" descr="Female Profile with solid fill">
          <a:extLst>
            <a:ext uri="{FF2B5EF4-FFF2-40B4-BE49-F238E27FC236}">
              <a16:creationId xmlns:a16="http://schemas.microsoft.com/office/drawing/2014/main" id="{54DB3167-12D8-4115-9765-69855376B8D9}"/>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6229350" y="1666875"/>
          <a:ext cx="542233" cy="552450"/>
        </a:xfrm>
        <a:prstGeom prst="rect">
          <a:avLst/>
        </a:prstGeom>
      </xdr:spPr>
    </xdr:pic>
    <xdr:clientData/>
  </xdr:twoCellAnchor>
  <xdr:twoCellAnchor editAs="oneCell">
    <xdr:from>
      <xdr:col>1</xdr:col>
      <xdr:colOff>180975</xdr:colOff>
      <xdr:row>0</xdr:row>
      <xdr:rowOff>104774</xdr:rowOff>
    </xdr:from>
    <xdr:to>
      <xdr:col>1</xdr:col>
      <xdr:colOff>723900</xdr:colOff>
      <xdr:row>2</xdr:row>
      <xdr:rowOff>49529</xdr:rowOff>
    </xdr:to>
    <xdr:pic>
      <xdr:nvPicPr>
        <xdr:cNvPr id="39" name="Picture 38" descr="Hr Logo Vector Art, Icons, and Graphics ...">
          <a:extLst>
            <a:ext uri="{FF2B5EF4-FFF2-40B4-BE49-F238E27FC236}">
              <a16:creationId xmlns:a16="http://schemas.microsoft.com/office/drawing/2014/main" id="{EC0324B0-7259-FB09-CF91-090121FD560A}"/>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266700" y="104774"/>
          <a:ext cx="542925" cy="325755"/>
        </a:xfrm>
        <a:prstGeom prst="ellipse">
          <a:avLst/>
        </a:prstGeom>
        <a:ln w="63500" cap="rnd">
          <a:solidFill>
            <a:srgbClr val="333333"/>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c:userShapes xmlns:c="http://schemas.openxmlformats.org/drawingml/2006/chart">
  <cdr:relSizeAnchor xmlns:cdr="http://schemas.openxmlformats.org/drawingml/2006/chartDrawing">
    <cdr:from>
      <cdr:x>0.67296</cdr:x>
      <cdr:y>0</cdr:y>
    </cdr:from>
    <cdr:to>
      <cdr:x>0.86792</cdr:x>
      <cdr:y>0.33175</cdr:y>
    </cdr:to>
    <cdr:pic>
      <cdr:nvPicPr>
        <cdr:cNvPr id="2" name="Graphic 75" descr="Male profile with solid fill">
          <a:extLst xmlns:a="http://schemas.openxmlformats.org/drawingml/2006/main">
            <a:ext uri="{FF2B5EF4-FFF2-40B4-BE49-F238E27FC236}">
              <a16:creationId xmlns:a16="http://schemas.microsoft.com/office/drawing/2014/main" id="{F0695F6A-6CD1-55D9-637A-31D0ACAB0F0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2038349" y="0"/>
          <a:ext cx="590550" cy="581426"/>
        </a:xfrm>
        <a:prstGeom xmlns:a="http://schemas.openxmlformats.org/drawingml/2006/main" prst="rect">
          <a:avLst/>
        </a:prstGeom>
      </cdr:spPr>
    </cdr:pic>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01.643314583336" createdVersion="8" refreshedVersion="8" minRefreshableVersion="3" recordCount="411" xr:uid="{B1D83324-99B8-4E70-BC18-EB221986841F}">
  <cacheSource type="worksheet">
    <worksheetSource name="Data"/>
  </cacheSource>
  <cacheFields count="19">
    <cacheField name="ID" numFmtId="0">
      <sharedItems/>
    </cacheField>
    <cacheField name="Name" numFmtId="0">
      <sharedItems/>
    </cacheField>
    <cacheField name="Department" numFmtId="0">
      <sharedItems count="7">
        <s v="Packing Dept."/>
        <s v="Administration Dept."/>
        <s v="Production Dept."/>
        <s v="Quality Dept."/>
        <s v="Human Resource Dept."/>
        <s v="PMC &amp; Warehouse Dept."/>
        <s v="Engineering"/>
      </sharedItems>
    </cacheField>
    <cacheField name="Designation" numFmtId="0">
      <sharedItems count="10">
        <s v="Line Operator"/>
        <s v="Loader"/>
        <s v="Executive"/>
        <s v="Manager"/>
        <s v="Senior Eecutive"/>
        <s v="Assistant Manager"/>
        <s v="Assistant Leader"/>
        <s v="Line Leader"/>
        <s v="Cleaner"/>
        <s v="Support Staff"/>
      </sharedItems>
    </cacheField>
    <cacheField name="Employee Category" numFmtId="0">
      <sharedItems count="3">
        <s v="Management "/>
        <s v="Indiract "/>
        <s v="Diract "/>
      </sharedItems>
    </cacheField>
    <cacheField name="Employee Type" numFmtId="0">
      <sharedItems count="2">
        <s v="Permanent"/>
        <s v="Probation"/>
      </sharedItems>
    </cacheField>
    <cacheField name="Date of confirmation" numFmtId="22">
      <sharedItems containsSemiMixedTypes="0" containsNonDate="0" containsDate="1" containsString="0" minDate="2023-09-02T00:00:00" maxDate="2024-10-30T00:00:00"/>
    </cacheField>
    <cacheField name="Date of Join" numFmtId="14">
      <sharedItems containsSemiMixedTypes="0" containsNonDate="0" containsDate="1" containsString="0" minDate="2023-03-06T00:00:00" maxDate="2024-05-03T00:00:00"/>
    </cacheField>
    <cacheField name="Gender" numFmtId="0">
      <sharedItems count="2">
        <s v="Male"/>
        <s v="Female"/>
      </sharedItems>
    </cacheField>
    <cacheField name="Marital Status" numFmtId="0">
      <sharedItems count="2">
        <s v="Single"/>
        <s v="Married"/>
      </sharedItems>
    </cacheField>
    <cacheField name="Blood Group" numFmtId="0">
      <sharedItems count="9">
        <s v="B+"/>
        <s v="A+"/>
        <s v="O+"/>
        <s v="AB+"/>
        <s v="O-"/>
        <s v="N/A"/>
        <s v="A-"/>
        <s v="B-"/>
        <s v="AB-"/>
      </sharedItems>
    </cacheField>
    <cacheField name="Present Address" numFmtId="0">
      <sharedItems/>
    </cacheField>
    <cacheField name="Distance" numFmtId="0">
      <sharedItems/>
    </cacheField>
    <cacheField name="Working status" numFmtId="0">
      <sharedItems count="3">
        <s v="Active"/>
        <s v="Resigned"/>
        <s v="Fire"/>
      </sharedItems>
    </cacheField>
    <cacheField name="Salary" numFmtId="0">
      <sharedItems containsSemiMixedTypes="0" containsString="0" containsNumber="1" containsInteger="1" minValue="16" maxValue="2163263"/>
    </cacheField>
    <cacheField name="Role Group" numFmtId="0">
      <sharedItems count="2">
        <s v="Line Operator"/>
        <s v="Other"/>
      </sharedItems>
    </cacheField>
    <cacheField name="Month Name" numFmtId="0">
      <sharedItems count="11">
        <s v="March"/>
        <s v="May"/>
        <s v="June"/>
        <s v="July"/>
        <s v="August"/>
        <s v="September"/>
        <s v="November"/>
        <s v="December"/>
        <s v="January"/>
        <s v="February"/>
        <s v="April"/>
      </sharedItems>
    </cacheField>
    <cacheField name="Year" numFmtId="0">
      <sharedItems containsSemiMixedTypes="0" containsString="0" containsNumber="1" containsInteger="1" minValue="2023" maxValue="2024" count="2">
        <n v="2023"/>
        <n v="2024"/>
      </sharedItems>
    </cacheField>
    <cacheField name="Quarter" numFmtId="0">
      <sharedItems containsSemiMixedTypes="0" containsString="0" containsNumber="1" containsInteger="1" minValue="1" maxValue="4" count="4">
        <n v="1"/>
        <n v="2"/>
        <n v="3"/>
        <n v="4"/>
      </sharedItems>
    </cacheField>
  </cacheFields>
  <extLst>
    <ext xmlns:x14="http://schemas.microsoft.com/office/spreadsheetml/2009/9/main" uri="{725AE2AE-9491-48be-B2B4-4EB974FC3084}">
      <x14:pivotCacheDefinition pivotCacheId="3235932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1">
  <r>
    <s v="ACX1"/>
    <s v="Shanta Priya"/>
    <x v="0"/>
    <x v="0"/>
    <x v="0"/>
    <x v="0"/>
    <d v="2023-09-02T00:00:00"/>
    <d v="2023-03-06T00:00:00"/>
    <x v="0"/>
    <x v="0"/>
    <x v="0"/>
    <s v="Gazipura 27"/>
    <s v="1km -3km"/>
    <x v="0"/>
    <n v="10000"/>
    <x v="0"/>
    <x v="0"/>
    <x v="0"/>
    <x v="0"/>
  </r>
  <r>
    <s v="ACX1"/>
    <s v="Shanta Priya"/>
    <x v="0"/>
    <x v="0"/>
    <x v="0"/>
    <x v="0"/>
    <d v="2023-09-02T00:00:00"/>
    <d v="2023-03-06T00:00:00"/>
    <x v="0"/>
    <x v="0"/>
    <x v="0"/>
    <s v="Gazipura 27"/>
    <s v="1km -3km"/>
    <x v="0"/>
    <n v="10000"/>
    <x v="0"/>
    <x v="0"/>
    <x v="0"/>
    <x v="0"/>
  </r>
  <r>
    <s v="ACX2"/>
    <s v="Md. Abdul Kader"/>
    <x v="1"/>
    <x v="0"/>
    <x v="1"/>
    <x v="1"/>
    <d v="2023-11-02T00:00:00"/>
    <d v="2023-05-06T00:00:00"/>
    <x v="0"/>
    <x v="0"/>
    <x v="1"/>
    <s v="Gazipura 27"/>
    <s v="1km -3km"/>
    <x v="1"/>
    <n v="2500"/>
    <x v="0"/>
    <x v="1"/>
    <x v="0"/>
    <x v="1"/>
  </r>
  <r>
    <s v="ACX3"/>
    <s v="Md. Sagor Hossain"/>
    <x v="2"/>
    <x v="0"/>
    <x v="0"/>
    <x v="0"/>
    <d v="2023-11-16T00:00:00"/>
    <d v="2023-05-20T00:00:00"/>
    <x v="0"/>
    <x v="1"/>
    <x v="2"/>
    <s v="Uttara"/>
    <s v="5-10km"/>
    <x v="2"/>
    <n v="500"/>
    <x v="0"/>
    <x v="1"/>
    <x v="0"/>
    <x v="1"/>
  </r>
  <r>
    <s v="ACX4"/>
    <s v="Masud Islam Fahim"/>
    <x v="3"/>
    <x v="1"/>
    <x v="1"/>
    <x v="0"/>
    <d v="2023-11-28T00:00:00"/>
    <d v="2023-06-01T00:00:00"/>
    <x v="0"/>
    <x v="1"/>
    <x v="1"/>
    <s v="Bonmala Road"/>
    <s v="3km-5km"/>
    <x v="0"/>
    <n v="10000"/>
    <x v="1"/>
    <x v="2"/>
    <x v="0"/>
    <x v="1"/>
  </r>
  <r>
    <s v="ACX5"/>
    <s v="Md. Manik Mia"/>
    <x v="2"/>
    <x v="0"/>
    <x v="1"/>
    <x v="1"/>
    <d v="2023-12-09T00:00:00"/>
    <d v="2023-06-12T00:00:00"/>
    <x v="0"/>
    <x v="0"/>
    <x v="2"/>
    <s v="Khilkhet"/>
    <s v="10-15km"/>
    <x v="0"/>
    <n v="10000"/>
    <x v="0"/>
    <x v="2"/>
    <x v="0"/>
    <x v="1"/>
  </r>
  <r>
    <s v="ACX5"/>
    <s v="Md. Manik Mia"/>
    <x v="2"/>
    <x v="0"/>
    <x v="1"/>
    <x v="1"/>
    <d v="2023-12-09T00:00:00"/>
    <d v="2023-06-12T00:00:00"/>
    <x v="0"/>
    <x v="0"/>
    <x v="2"/>
    <s v="Khilkhet"/>
    <s v="10-15km"/>
    <x v="0"/>
    <n v="10000"/>
    <x v="0"/>
    <x v="2"/>
    <x v="0"/>
    <x v="1"/>
  </r>
  <r>
    <s v="ACX6"/>
    <s v="Md. Shajibur Rahaman"/>
    <x v="3"/>
    <x v="0"/>
    <x v="1"/>
    <x v="0"/>
    <d v="2023-12-09T00:00:00"/>
    <d v="2023-06-12T00:00:00"/>
    <x v="0"/>
    <x v="0"/>
    <x v="0"/>
    <s v="Gazipura 27"/>
    <s v="1km -3km"/>
    <x v="0"/>
    <n v="10000"/>
    <x v="0"/>
    <x v="2"/>
    <x v="0"/>
    <x v="1"/>
  </r>
  <r>
    <s v="ACX7"/>
    <s v="Limon"/>
    <x v="2"/>
    <x v="0"/>
    <x v="1"/>
    <x v="0"/>
    <d v="2023-12-12T00:00:00"/>
    <d v="2023-06-15T00:00:00"/>
    <x v="0"/>
    <x v="1"/>
    <x v="2"/>
    <s v="Gazipura 27"/>
    <s v="1km -3km"/>
    <x v="0"/>
    <n v="10000"/>
    <x v="0"/>
    <x v="2"/>
    <x v="0"/>
    <x v="1"/>
  </r>
  <r>
    <s v="ACX8"/>
    <s v="Arman Hossen"/>
    <x v="3"/>
    <x v="0"/>
    <x v="0"/>
    <x v="0"/>
    <d v="2023-12-17T00:00:00"/>
    <d v="2023-06-20T00:00:00"/>
    <x v="0"/>
    <x v="0"/>
    <x v="3"/>
    <s v="Gazipura 27"/>
    <s v="1km -3km"/>
    <x v="0"/>
    <n v="523"/>
    <x v="0"/>
    <x v="2"/>
    <x v="0"/>
    <x v="1"/>
  </r>
  <r>
    <s v="ACX9"/>
    <s v="Md. Raju Mia"/>
    <x v="3"/>
    <x v="0"/>
    <x v="1"/>
    <x v="0"/>
    <d v="2023-12-17T00:00:00"/>
    <d v="2023-06-20T00:00:00"/>
    <x v="0"/>
    <x v="0"/>
    <x v="1"/>
    <s v="Gazipura 27"/>
    <s v="1km -3km"/>
    <x v="0"/>
    <n v="10000"/>
    <x v="0"/>
    <x v="2"/>
    <x v="0"/>
    <x v="1"/>
  </r>
  <r>
    <s v="ACX10"/>
    <s v="Md. Ammar Hossain"/>
    <x v="2"/>
    <x v="0"/>
    <x v="1"/>
    <x v="0"/>
    <d v="2023-12-18T00:00:00"/>
    <d v="2023-06-21T00:00:00"/>
    <x v="0"/>
    <x v="1"/>
    <x v="2"/>
    <s v="Gazipura 27"/>
    <s v="1km -3km"/>
    <x v="0"/>
    <n v="216363"/>
    <x v="0"/>
    <x v="2"/>
    <x v="0"/>
    <x v="1"/>
  </r>
  <r>
    <s v="ACX11"/>
    <s v="Nadim Al Kamal Murad"/>
    <x v="2"/>
    <x v="0"/>
    <x v="0"/>
    <x v="0"/>
    <d v="2023-12-28T00:00:00"/>
    <d v="2023-07-01T00:00:00"/>
    <x v="0"/>
    <x v="1"/>
    <x v="2"/>
    <s v="Bonmala Road"/>
    <s v="3km-5km"/>
    <x v="0"/>
    <n v="10000"/>
    <x v="0"/>
    <x v="3"/>
    <x v="0"/>
    <x v="2"/>
  </r>
  <r>
    <s v="ACX12"/>
    <s v="Manik Sharker"/>
    <x v="2"/>
    <x v="0"/>
    <x v="1"/>
    <x v="0"/>
    <d v="2024-01-06T00:00:00"/>
    <d v="2023-07-10T00:00:00"/>
    <x v="0"/>
    <x v="1"/>
    <x v="3"/>
    <s v="Gazipura 27"/>
    <s v="1km -3km"/>
    <x v="0"/>
    <n v="10000"/>
    <x v="0"/>
    <x v="3"/>
    <x v="0"/>
    <x v="2"/>
  </r>
  <r>
    <s v="ACX13"/>
    <s v="Samiul Hoque"/>
    <x v="3"/>
    <x v="0"/>
    <x v="1"/>
    <x v="0"/>
    <d v="2024-01-06T00:00:00"/>
    <d v="2023-07-10T00:00:00"/>
    <x v="0"/>
    <x v="1"/>
    <x v="0"/>
    <s v="Gazipur Chowrasta"/>
    <s v="5-10km"/>
    <x v="0"/>
    <n v="525"/>
    <x v="0"/>
    <x v="3"/>
    <x v="0"/>
    <x v="2"/>
  </r>
  <r>
    <s v="ACX14"/>
    <s v="Rashid Mahmud"/>
    <x v="3"/>
    <x v="0"/>
    <x v="1"/>
    <x v="1"/>
    <d v="2024-01-06T00:00:00"/>
    <d v="2023-07-10T00:00:00"/>
    <x v="0"/>
    <x v="1"/>
    <x v="4"/>
    <s v="Gazipura 27"/>
    <s v="1km -3km"/>
    <x v="0"/>
    <n v="10000"/>
    <x v="0"/>
    <x v="3"/>
    <x v="0"/>
    <x v="2"/>
  </r>
  <r>
    <s v="ACX15"/>
    <s v="Md. Riad Hasan"/>
    <x v="2"/>
    <x v="0"/>
    <x v="2"/>
    <x v="0"/>
    <d v="2024-01-06T00:00:00"/>
    <d v="2023-07-10T00:00:00"/>
    <x v="0"/>
    <x v="0"/>
    <x v="0"/>
    <s v="Gazipura 27"/>
    <s v="1km -3km"/>
    <x v="0"/>
    <n v="15265"/>
    <x v="0"/>
    <x v="3"/>
    <x v="0"/>
    <x v="2"/>
  </r>
  <r>
    <s v="ACX16"/>
    <s v="Md. Junied Mahtav Muin"/>
    <x v="0"/>
    <x v="0"/>
    <x v="1"/>
    <x v="0"/>
    <d v="2024-01-06T00:00:00"/>
    <d v="2023-07-10T00:00:00"/>
    <x v="0"/>
    <x v="1"/>
    <x v="2"/>
    <s v="Gazipura 27"/>
    <s v="1km -3km"/>
    <x v="0"/>
    <n v="10000"/>
    <x v="0"/>
    <x v="3"/>
    <x v="0"/>
    <x v="2"/>
  </r>
  <r>
    <s v="ACX17"/>
    <s v="Mst. Muslima"/>
    <x v="4"/>
    <x v="0"/>
    <x v="2"/>
    <x v="0"/>
    <d v="2024-01-06T00:00:00"/>
    <d v="2023-07-10T00:00:00"/>
    <x v="1"/>
    <x v="1"/>
    <x v="2"/>
    <s v="Gazipura 27"/>
    <s v="1km -3km"/>
    <x v="0"/>
    <n v="56"/>
    <x v="0"/>
    <x v="3"/>
    <x v="0"/>
    <x v="2"/>
  </r>
  <r>
    <s v="ACX18"/>
    <s v="Md. Jahid Hasan Joy"/>
    <x v="0"/>
    <x v="0"/>
    <x v="1"/>
    <x v="0"/>
    <d v="2024-01-06T00:00:00"/>
    <d v="2023-07-10T00:00:00"/>
    <x v="0"/>
    <x v="1"/>
    <x v="0"/>
    <s v="Gazipura 27"/>
    <s v="1km -3km"/>
    <x v="0"/>
    <n v="10000"/>
    <x v="0"/>
    <x v="3"/>
    <x v="0"/>
    <x v="2"/>
  </r>
  <r>
    <s v="ACX19"/>
    <s v="Reduyan Ahmed Ajmir"/>
    <x v="1"/>
    <x v="0"/>
    <x v="1"/>
    <x v="0"/>
    <d v="2024-01-06T00:00:00"/>
    <d v="2023-07-10T00:00:00"/>
    <x v="0"/>
    <x v="0"/>
    <x v="3"/>
    <s v="Gazipura 27"/>
    <s v="1km -3km"/>
    <x v="0"/>
    <n v="10000"/>
    <x v="0"/>
    <x v="3"/>
    <x v="0"/>
    <x v="2"/>
  </r>
  <r>
    <s v="ACX20"/>
    <s v="Md. Sajib Hossain"/>
    <x v="2"/>
    <x v="0"/>
    <x v="2"/>
    <x v="0"/>
    <d v="2024-01-06T00:00:00"/>
    <d v="2023-07-10T00:00:00"/>
    <x v="0"/>
    <x v="0"/>
    <x v="2"/>
    <s v="Gazipura 27"/>
    <s v="1km -3km"/>
    <x v="0"/>
    <n v="1662"/>
    <x v="0"/>
    <x v="3"/>
    <x v="0"/>
    <x v="2"/>
  </r>
  <r>
    <s v="ACX21"/>
    <s v="Rayhan Habib"/>
    <x v="3"/>
    <x v="0"/>
    <x v="2"/>
    <x v="0"/>
    <d v="2024-01-06T00:00:00"/>
    <d v="2023-07-10T00:00:00"/>
    <x v="0"/>
    <x v="0"/>
    <x v="2"/>
    <s v="Gazipura 27"/>
    <s v="1km -3km"/>
    <x v="0"/>
    <n v="10000"/>
    <x v="0"/>
    <x v="3"/>
    <x v="0"/>
    <x v="2"/>
  </r>
  <r>
    <s v="ACX22"/>
    <s v="Md. Al Amin Hossain Shanto"/>
    <x v="2"/>
    <x v="0"/>
    <x v="2"/>
    <x v="0"/>
    <d v="2024-01-07T00:00:00"/>
    <d v="2023-07-11T00:00:00"/>
    <x v="0"/>
    <x v="0"/>
    <x v="2"/>
    <s v="Gazipura 27"/>
    <s v="1km -3km"/>
    <x v="0"/>
    <n v="10000"/>
    <x v="0"/>
    <x v="3"/>
    <x v="0"/>
    <x v="2"/>
  </r>
  <r>
    <s v="ACX23"/>
    <s v="Nazmul Islam"/>
    <x v="3"/>
    <x v="0"/>
    <x v="1"/>
    <x v="0"/>
    <d v="2024-02-01T00:00:00"/>
    <d v="2023-08-05T00:00:00"/>
    <x v="0"/>
    <x v="1"/>
    <x v="2"/>
    <s v="Gazipura 27"/>
    <s v="1km -3km"/>
    <x v="0"/>
    <n v="6232"/>
    <x v="0"/>
    <x v="4"/>
    <x v="0"/>
    <x v="2"/>
  </r>
  <r>
    <s v="ACX24"/>
    <s v="Pallab Bhowmick"/>
    <x v="3"/>
    <x v="0"/>
    <x v="1"/>
    <x v="0"/>
    <d v="2024-02-01T00:00:00"/>
    <d v="2023-08-05T00:00:00"/>
    <x v="0"/>
    <x v="1"/>
    <x v="1"/>
    <s v="Board Bazar"/>
    <s v="3km-5km"/>
    <x v="0"/>
    <n v="10000"/>
    <x v="0"/>
    <x v="4"/>
    <x v="0"/>
    <x v="2"/>
  </r>
  <r>
    <s v="ACX25"/>
    <s v="Md.Aminur Rahman"/>
    <x v="3"/>
    <x v="0"/>
    <x v="1"/>
    <x v="0"/>
    <d v="2024-03-05T00:00:00"/>
    <d v="2023-09-07T00:00:00"/>
    <x v="0"/>
    <x v="1"/>
    <x v="0"/>
    <s v="Gazipura 27"/>
    <s v="1km -3km"/>
    <x v="0"/>
    <n v="10000"/>
    <x v="0"/>
    <x v="5"/>
    <x v="0"/>
    <x v="2"/>
  </r>
  <r>
    <s v="ACX26"/>
    <s v="Md.Musfiqur Rahman"/>
    <x v="0"/>
    <x v="0"/>
    <x v="1"/>
    <x v="1"/>
    <d v="2024-05-18T00:00:00"/>
    <d v="2023-11-20T00:00:00"/>
    <x v="0"/>
    <x v="1"/>
    <x v="2"/>
    <s v="Mohammadpur"/>
    <s v="20km-30km"/>
    <x v="0"/>
    <n v="21633"/>
    <x v="0"/>
    <x v="6"/>
    <x v="0"/>
    <x v="3"/>
  </r>
  <r>
    <s v="ACX27"/>
    <s v="Md.Maruf Hossen"/>
    <x v="2"/>
    <x v="0"/>
    <x v="1"/>
    <x v="1"/>
    <d v="2024-05-18T00:00:00"/>
    <d v="2023-11-20T00:00:00"/>
    <x v="0"/>
    <x v="1"/>
    <x v="2"/>
    <s v="Gazipur Chowrasta"/>
    <s v="5-10km"/>
    <x v="0"/>
    <n v="10000"/>
    <x v="0"/>
    <x v="6"/>
    <x v="0"/>
    <x v="3"/>
  </r>
  <r>
    <s v="ACX28"/>
    <s v="Nazmul Hossain"/>
    <x v="3"/>
    <x v="0"/>
    <x v="0"/>
    <x v="1"/>
    <d v="2024-05-30T00:00:00"/>
    <d v="2023-12-02T00:00:00"/>
    <x v="0"/>
    <x v="1"/>
    <x v="3"/>
    <s v="Bonmala Road"/>
    <s v="3km-5km"/>
    <x v="0"/>
    <n v="10000"/>
    <x v="0"/>
    <x v="7"/>
    <x v="0"/>
    <x v="3"/>
  </r>
  <r>
    <s v="ACX29"/>
    <s v="Shohag"/>
    <x v="3"/>
    <x v="0"/>
    <x v="1"/>
    <x v="1"/>
    <d v="2024-06-06T00:00:00"/>
    <d v="2023-12-09T00:00:00"/>
    <x v="0"/>
    <x v="0"/>
    <x v="1"/>
    <s v="Gazipura 27"/>
    <s v="1km -3km"/>
    <x v="0"/>
    <n v="5000"/>
    <x v="0"/>
    <x v="7"/>
    <x v="0"/>
    <x v="3"/>
  </r>
  <r>
    <s v="ACX30"/>
    <s v="Nazmul Hosasain"/>
    <x v="2"/>
    <x v="0"/>
    <x v="0"/>
    <x v="1"/>
    <d v="2024-06-07T00:00:00"/>
    <d v="2023-12-10T00:00:00"/>
    <x v="0"/>
    <x v="0"/>
    <x v="0"/>
    <s v="Gazipura 27"/>
    <s v="1km -3km"/>
    <x v="0"/>
    <n v="10000"/>
    <x v="0"/>
    <x v="7"/>
    <x v="0"/>
    <x v="3"/>
  </r>
  <r>
    <s v="ACX31"/>
    <s v="Sujon Mia"/>
    <x v="2"/>
    <x v="0"/>
    <x v="2"/>
    <x v="1"/>
    <d v="2024-06-07T00:00:00"/>
    <d v="2023-12-10T00:00:00"/>
    <x v="0"/>
    <x v="0"/>
    <x v="3"/>
    <s v="Board Bazar"/>
    <s v="3km-5km"/>
    <x v="0"/>
    <n v="6211"/>
    <x v="0"/>
    <x v="7"/>
    <x v="0"/>
    <x v="3"/>
  </r>
  <r>
    <s v="ACX32"/>
    <s v="Shourov Miah"/>
    <x v="2"/>
    <x v="0"/>
    <x v="2"/>
    <x v="1"/>
    <d v="2024-06-07T00:00:00"/>
    <d v="2023-12-10T00:00:00"/>
    <x v="0"/>
    <x v="0"/>
    <x v="5"/>
    <s v="Boro Bari"/>
    <s v="3km-5km"/>
    <x v="0"/>
    <n v="36352"/>
    <x v="0"/>
    <x v="7"/>
    <x v="0"/>
    <x v="3"/>
  </r>
  <r>
    <s v="ACX33"/>
    <s v="Abdul Kayyum"/>
    <x v="2"/>
    <x v="0"/>
    <x v="2"/>
    <x v="1"/>
    <d v="2024-06-07T00:00:00"/>
    <d v="2023-12-10T00:00:00"/>
    <x v="0"/>
    <x v="0"/>
    <x v="5"/>
    <s v="Hossen Market"/>
    <s v="1km -3km"/>
    <x v="0"/>
    <n v="2581"/>
    <x v="0"/>
    <x v="7"/>
    <x v="0"/>
    <x v="3"/>
  </r>
  <r>
    <s v="ACX34"/>
    <s v="Aminul Islam"/>
    <x v="2"/>
    <x v="0"/>
    <x v="2"/>
    <x v="1"/>
    <d v="2024-06-07T00:00:00"/>
    <d v="2023-12-10T00:00:00"/>
    <x v="0"/>
    <x v="0"/>
    <x v="0"/>
    <s v="Board Bazar"/>
    <s v="3km-5km"/>
    <x v="0"/>
    <n v="2365"/>
    <x v="0"/>
    <x v="7"/>
    <x v="0"/>
    <x v="3"/>
  </r>
  <r>
    <s v="ACX35"/>
    <s v="Rafiu Ahmed"/>
    <x v="2"/>
    <x v="0"/>
    <x v="2"/>
    <x v="1"/>
    <d v="2024-06-07T00:00:00"/>
    <d v="2023-12-10T00:00:00"/>
    <x v="0"/>
    <x v="1"/>
    <x v="0"/>
    <s v="Sign board"/>
    <s v="3km-5km"/>
    <x v="0"/>
    <n v="10000"/>
    <x v="0"/>
    <x v="7"/>
    <x v="0"/>
    <x v="3"/>
  </r>
  <r>
    <s v="ACX36"/>
    <s v="Rubel Rana"/>
    <x v="0"/>
    <x v="0"/>
    <x v="2"/>
    <x v="1"/>
    <d v="2024-06-07T00:00:00"/>
    <d v="2023-12-10T00:00:00"/>
    <x v="0"/>
    <x v="0"/>
    <x v="0"/>
    <s v="Gazipura 27"/>
    <s v="1km -3km"/>
    <x v="0"/>
    <n v="10000"/>
    <x v="0"/>
    <x v="7"/>
    <x v="0"/>
    <x v="3"/>
  </r>
  <r>
    <s v="ACX37"/>
    <s v="Toyon Babu"/>
    <x v="2"/>
    <x v="0"/>
    <x v="2"/>
    <x v="1"/>
    <d v="2024-06-07T00:00:00"/>
    <d v="2023-12-10T00:00:00"/>
    <x v="0"/>
    <x v="0"/>
    <x v="5"/>
    <s v="Gazipura 27"/>
    <s v="1km -3km"/>
    <x v="0"/>
    <n v="16554"/>
    <x v="0"/>
    <x v="7"/>
    <x v="0"/>
    <x v="3"/>
  </r>
  <r>
    <s v="ACX38"/>
    <s v="Md. Sanoar Islam Shadin"/>
    <x v="2"/>
    <x v="0"/>
    <x v="2"/>
    <x v="1"/>
    <d v="2024-06-07T00:00:00"/>
    <d v="2023-12-10T00:00:00"/>
    <x v="0"/>
    <x v="0"/>
    <x v="3"/>
    <s v="Gazipura 27"/>
    <s v="1km -3km"/>
    <x v="0"/>
    <n v="10000"/>
    <x v="0"/>
    <x v="7"/>
    <x v="0"/>
    <x v="3"/>
  </r>
  <r>
    <s v="ACX39"/>
    <s v="Mizanur Rahman "/>
    <x v="2"/>
    <x v="0"/>
    <x v="2"/>
    <x v="1"/>
    <d v="2024-06-07T00:00:00"/>
    <d v="2023-12-10T00:00:00"/>
    <x v="0"/>
    <x v="1"/>
    <x v="1"/>
    <s v="Gazipura 27"/>
    <s v="1km -3km"/>
    <x v="0"/>
    <n v="10000"/>
    <x v="0"/>
    <x v="7"/>
    <x v="0"/>
    <x v="3"/>
  </r>
  <r>
    <s v="ACX40"/>
    <s v="Tanjim Ahmed"/>
    <x v="2"/>
    <x v="0"/>
    <x v="2"/>
    <x v="1"/>
    <d v="2024-06-07T00:00:00"/>
    <d v="2023-12-10T00:00:00"/>
    <x v="0"/>
    <x v="1"/>
    <x v="0"/>
    <s v="Gazipura 27"/>
    <s v="1km -3km"/>
    <x v="0"/>
    <n v="10000"/>
    <x v="0"/>
    <x v="7"/>
    <x v="0"/>
    <x v="3"/>
  </r>
  <r>
    <s v="ACX41"/>
    <s v="Sahara Akter Bristy"/>
    <x v="3"/>
    <x v="0"/>
    <x v="2"/>
    <x v="1"/>
    <d v="2024-06-07T00:00:00"/>
    <d v="2023-12-10T00:00:00"/>
    <x v="1"/>
    <x v="1"/>
    <x v="1"/>
    <s v="Gazipura 27"/>
    <s v="1km -3km"/>
    <x v="0"/>
    <n v="165146"/>
    <x v="0"/>
    <x v="7"/>
    <x v="0"/>
    <x v="3"/>
  </r>
  <r>
    <s v="ACX42"/>
    <s v="Shahadat Hossain"/>
    <x v="0"/>
    <x v="0"/>
    <x v="2"/>
    <x v="1"/>
    <d v="2024-06-07T00:00:00"/>
    <d v="2023-12-10T00:00:00"/>
    <x v="0"/>
    <x v="0"/>
    <x v="2"/>
    <s v="Board Bazar"/>
    <s v="3km-5km"/>
    <x v="0"/>
    <n v="10000"/>
    <x v="0"/>
    <x v="7"/>
    <x v="0"/>
    <x v="3"/>
  </r>
  <r>
    <s v="ACX43"/>
    <s v="Nittananda Das"/>
    <x v="0"/>
    <x v="0"/>
    <x v="2"/>
    <x v="1"/>
    <d v="2024-06-07T00:00:00"/>
    <d v="2023-12-10T00:00:00"/>
    <x v="0"/>
    <x v="0"/>
    <x v="6"/>
    <s v="Gazipura 27"/>
    <s v="1km -3km"/>
    <x v="0"/>
    <n v="10000"/>
    <x v="0"/>
    <x v="7"/>
    <x v="0"/>
    <x v="3"/>
  </r>
  <r>
    <s v="ACX44"/>
    <s v="Milon Hossain "/>
    <x v="0"/>
    <x v="0"/>
    <x v="2"/>
    <x v="1"/>
    <d v="2024-06-07T00:00:00"/>
    <d v="2023-12-10T00:00:00"/>
    <x v="0"/>
    <x v="0"/>
    <x v="0"/>
    <s v="Gazipura 27"/>
    <s v="1km -3km"/>
    <x v="0"/>
    <n v="215"/>
    <x v="0"/>
    <x v="7"/>
    <x v="0"/>
    <x v="3"/>
  </r>
  <r>
    <s v="ACX45"/>
    <s v="Hassan Mahmud"/>
    <x v="2"/>
    <x v="0"/>
    <x v="2"/>
    <x v="1"/>
    <d v="2024-06-07T00:00:00"/>
    <d v="2023-12-10T00:00:00"/>
    <x v="0"/>
    <x v="0"/>
    <x v="2"/>
    <s v="Gazipura 27"/>
    <s v="1km -3km"/>
    <x v="0"/>
    <n v="10000"/>
    <x v="0"/>
    <x v="7"/>
    <x v="0"/>
    <x v="3"/>
  </r>
  <r>
    <s v="ACX46"/>
    <s v="Mst. Happy"/>
    <x v="2"/>
    <x v="0"/>
    <x v="2"/>
    <x v="1"/>
    <d v="2024-06-07T00:00:00"/>
    <d v="2023-12-10T00:00:00"/>
    <x v="1"/>
    <x v="0"/>
    <x v="7"/>
    <s v="Board Bazar"/>
    <s v="3km-5km"/>
    <x v="0"/>
    <n v="10000"/>
    <x v="0"/>
    <x v="7"/>
    <x v="0"/>
    <x v="3"/>
  </r>
  <r>
    <s v="ACX47"/>
    <s v="Kamrul Hasan"/>
    <x v="2"/>
    <x v="0"/>
    <x v="2"/>
    <x v="1"/>
    <d v="2024-06-07T00:00:00"/>
    <d v="2023-12-10T00:00:00"/>
    <x v="0"/>
    <x v="0"/>
    <x v="0"/>
    <s v="Gazipur Chowrasta"/>
    <s v="5-10km"/>
    <x v="0"/>
    <n v="16365"/>
    <x v="0"/>
    <x v="7"/>
    <x v="0"/>
    <x v="3"/>
  </r>
  <r>
    <s v="ACX48"/>
    <s v="Mahenur Islam"/>
    <x v="2"/>
    <x v="0"/>
    <x v="2"/>
    <x v="1"/>
    <d v="2024-06-07T00:00:00"/>
    <d v="2023-12-10T00:00:00"/>
    <x v="1"/>
    <x v="0"/>
    <x v="0"/>
    <s v="Sign board"/>
    <s v="3km-5km"/>
    <x v="0"/>
    <n v="10000"/>
    <x v="0"/>
    <x v="7"/>
    <x v="0"/>
    <x v="3"/>
  </r>
  <r>
    <s v="ACX49"/>
    <s v="Md. Samiul Islam"/>
    <x v="2"/>
    <x v="0"/>
    <x v="2"/>
    <x v="1"/>
    <d v="2024-06-07T00:00:00"/>
    <d v="2023-12-10T00:00:00"/>
    <x v="0"/>
    <x v="0"/>
    <x v="5"/>
    <s v="Gazipura 27"/>
    <s v="1km -3km"/>
    <x v="0"/>
    <n v="10000"/>
    <x v="0"/>
    <x v="7"/>
    <x v="0"/>
    <x v="3"/>
  </r>
  <r>
    <s v="ACX50"/>
    <s v="Sohana akter sonia"/>
    <x v="2"/>
    <x v="0"/>
    <x v="2"/>
    <x v="1"/>
    <d v="2024-06-07T00:00:00"/>
    <d v="2023-12-10T00:00:00"/>
    <x v="1"/>
    <x v="0"/>
    <x v="2"/>
    <s v="Board Bazar"/>
    <s v="3km-5km"/>
    <x v="0"/>
    <n v="1636"/>
    <x v="0"/>
    <x v="7"/>
    <x v="0"/>
    <x v="3"/>
  </r>
  <r>
    <s v="ACX51"/>
    <s v="Ananna Pervin"/>
    <x v="2"/>
    <x v="0"/>
    <x v="2"/>
    <x v="1"/>
    <d v="2024-06-07T00:00:00"/>
    <d v="2023-12-10T00:00:00"/>
    <x v="1"/>
    <x v="0"/>
    <x v="2"/>
    <s v="Gazipura 27"/>
    <s v="1km -3km"/>
    <x v="0"/>
    <n v="10000"/>
    <x v="0"/>
    <x v="7"/>
    <x v="0"/>
    <x v="3"/>
  </r>
  <r>
    <s v="ACX52"/>
    <s v="Sorovi"/>
    <x v="0"/>
    <x v="0"/>
    <x v="2"/>
    <x v="1"/>
    <d v="2024-06-07T00:00:00"/>
    <d v="2023-12-10T00:00:00"/>
    <x v="1"/>
    <x v="0"/>
    <x v="2"/>
    <s v="Gazipura 27"/>
    <s v="1km -3km"/>
    <x v="0"/>
    <n v="10000"/>
    <x v="0"/>
    <x v="7"/>
    <x v="0"/>
    <x v="3"/>
  </r>
  <r>
    <s v="ACX53"/>
    <s v="Kulsum Akter"/>
    <x v="2"/>
    <x v="0"/>
    <x v="2"/>
    <x v="1"/>
    <d v="2024-06-07T00:00:00"/>
    <d v="2023-12-10T00:00:00"/>
    <x v="1"/>
    <x v="0"/>
    <x v="2"/>
    <s v="Board Bazar"/>
    <s v="3km-5km"/>
    <x v="0"/>
    <n v="2163263"/>
    <x v="0"/>
    <x v="7"/>
    <x v="0"/>
    <x v="3"/>
  </r>
  <r>
    <s v="ACX54"/>
    <s v="Antora Khatun"/>
    <x v="2"/>
    <x v="0"/>
    <x v="2"/>
    <x v="1"/>
    <d v="2024-06-07T00:00:00"/>
    <d v="2023-12-10T00:00:00"/>
    <x v="1"/>
    <x v="1"/>
    <x v="0"/>
    <s v="Gazipura 27"/>
    <s v="1km -3km"/>
    <x v="0"/>
    <n v="10000"/>
    <x v="0"/>
    <x v="7"/>
    <x v="0"/>
    <x v="3"/>
  </r>
  <r>
    <s v="ACX55"/>
    <s v="Rokrya Akter Eti"/>
    <x v="2"/>
    <x v="0"/>
    <x v="2"/>
    <x v="1"/>
    <d v="2024-06-07T00:00:00"/>
    <d v="2023-12-10T00:00:00"/>
    <x v="1"/>
    <x v="0"/>
    <x v="1"/>
    <s v="Gazipura 27"/>
    <s v="1km -3km"/>
    <x v="0"/>
    <n v="10000"/>
    <x v="0"/>
    <x v="7"/>
    <x v="0"/>
    <x v="3"/>
  </r>
  <r>
    <s v="ACX56"/>
    <s v="Sumaiya Khanom"/>
    <x v="2"/>
    <x v="2"/>
    <x v="2"/>
    <x v="1"/>
    <d v="2024-06-07T00:00:00"/>
    <d v="2023-12-10T00:00:00"/>
    <x v="1"/>
    <x v="0"/>
    <x v="0"/>
    <s v="Gazipura 27"/>
    <s v="1km -3km"/>
    <x v="0"/>
    <n v="2362"/>
    <x v="1"/>
    <x v="7"/>
    <x v="0"/>
    <x v="3"/>
  </r>
  <r>
    <s v="ACX57"/>
    <s v="Sumaya Akter"/>
    <x v="3"/>
    <x v="2"/>
    <x v="2"/>
    <x v="1"/>
    <d v="2024-06-07T00:00:00"/>
    <d v="2023-12-10T00:00:00"/>
    <x v="1"/>
    <x v="0"/>
    <x v="0"/>
    <s v="Gazipur Sadar"/>
    <s v="10-15km"/>
    <x v="0"/>
    <n v="10000"/>
    <x v="1"/>
    <x v="7"/>
    <x v="0"/>
    <x v="3"/>
  </r>
  <r>
    <s v="ACX58"/>
    <s v="Armina Akter Akhi"/>
    <x v="2"/>
    <x v="3"/>
    <x v="2"/>
    <x v="1"/>
    <d v="2024-06-07T00:00:00"/>
    <d v="2023-12-10T00:00:00"/>
    <x v="1"/>
    <x v="1"/>
    <x v="1"/>
    <s v="Gazipura 27"/>
    <s v="1km -3km"/>
    <x v="0"/>
    <n v="10000"/>
    <x v="1"/>
    <x v="7"/>
    <x v="0"/>
    <x v="3"/>
  </r>
  <r>
    <s v="ACX59"/>
    <s v="Md. Nadim Mahmud"/>
    <x v="0"/>
    <x v="3"/>
    <x v="2"/>
    <x v="1"/>
    <d v="2024-06-07T00:00:00"/>
    <d v="2023-12-10T00:00:00"/>
    <x v="1"/>
    <x v="1"/>
    <x v="1"/>
    <s v="Gazipura 27"/>
    <s v="1km -3km"/>
    <x v="0"/>
    <n v="132"/>
    <x v="1"/>
    <x v="7"/>
    <x v="0"/>
    <x v="3"/>
  </r>
  <r>
    <s v="ACX60"/>
    <s v="Md. Minhajul Islam"/>
    <x v="0"/>
    <x v="4"/>
    <x v="2"/>
    <x v="1"/>
    <d v="2024-06-07T00:00:00"/>
    <d v="2023-12-10T00:00:00"/>
    <x v="0"/>
    <x v="0"/>
    <x v="1"/>
    <s v="Gazipura 27"/>
    <s v="1km -3km"/>
    <x v="0"/>
    <n v="10000"/>
    <x v="1"/>
    <x v="7"/>
    <x v="0"/>
    <x v="3"/>
  </r>
  <r>
    <s v="ACX61"/>
    <s v="Md. Yousuf Ali"/>
    <x v="2"/>
    <x v="2"/>
    <x v="2"/>
    <x v="1"/>
    <d v="2024-06-07T00:00:00"/>
    <d v="2023-12-10T00:00:00"/>
    <x v="0"/>
    <x v="1"/>
    <x v="2"/>
    <s v="Gazipura 27"/>
    <s v="1km -3km"/>
    <x v="0"/>
    <n v="10000"/>
    <x v="1"/>
    <x v="7"/>
    <x v="0"/>
    <x v="3"/>
  </r>
  <r>
    <s v="ACX62"/>
    <s v="Md. Nafish Muthashim Ratul"/>
    <x v="2"/>
    <x v="2"/>
    <x v="2"/>
    <x v="1"/>
    <d v="2024-06-07T00:00:00"/>
    <d v="2023-12-10T00:00:00"/>
    <x v="1"/>
    <x v="0"/>
    <x v="2"/>
    <s v="Gazipura 27"/>
    <s v="1km -3km"/>
    <x v="0"/>
    <n v="232"/>
    <x v="1"/>
    <x v="7"/>
    <x v="0"/>
    <x v="3"/>
  </r>
  <r>
    <s v="ACX63"/>
    <s v="Md. Babu Mia"/>
    <x v="2"/>
    <x v="2"/>
    <x v="2"/>
    <x v="1"/>
    <d v="2024-06-07T00:00:00"/>
    <d v="2023-12-10T00:00:00"/>
    <x v="1"/>
    <x v="0"/>
    <x v="2"/>
    <s v="Board Bazar"/>
    <s v="3km-5km"/>
    <x v="0"/>
    <n v="10000"/>
    <x v="1"/>
    <x v="7"/>
    <x v="0"/>
    <x v="3"/>
  </r>
  <r>
    <s v="ACX64"/>
    <s v="Hasi Akter"/>
    <x v="3"/>
    <x v="2"/>
    <x v="2"/>
    <x v="1"/>
    <d v="2024-06-07T00:00:00"/>
    <d v="2023-12-10T00:00:00"/>
    <x v="1"/>
    <x v="0"/>
    <x v="5"/>
    <s v="Board Bazar"/>
    <s v="3km-5km"/>
    <x v="0"/>
    <n v="10000"/>
    <x v="1"/>
    <x v="7"/>
    <x v="0"/>
    <x v="3"/>
  </r>
  <r>
    <s v="ACX65"/>
    <s v="Sumon Mia"/>
    <x v="2"/>
    <x v="2"/>
    <x v="2"/>
    <x v="1"/>
    <d v="2024-06-07T00:00:00"/>
    <d v="2023-12-10T00:00:00"/>
    <x v="0"/>
    <x v="0"/>
    <x v="2"/>
    <s v="Vogra Baypass"/>
    <s v="5-10km"/>
    <x v="0"/>
    <n v="215"/>
    <x v="1"/>
    <x v="7"/>
    <x v="0"/>
    <x v="3"/>
  </r>
  <r>
    <s v="ACX66"/>
    <s v="Rakibul Islam"/>
    <x v="0"/>
    <x v="5"/>
    <x v="2"/>
    <x v="1"/>
    <d v="2024-06-07T00:00:00"/>
    <d v="2023-12-10T00:00:00"/>
    <x v="0"/>
    <x v="0"/>
    <x v="0"/>
    <s v="Gazipura 27"/>
    <s v="1km -3km"/>
    <x v="0"/>
    <n v="20000"/>
    <x v="1"/>
    <x v="7"/>
    <x v="0"/>
    <x v="3"/>
  </r>
  <r>
    <s v="ACX67"/>
    <s v="Sudip Chandra "/>
    <x v="0"/>
    <x v="3"/>
    <x v="2"/>
    <x v="1"/>
    <d v="2024-06-07T00:00:00"/>
    <d v="2023-12-10T00:00:00"/>
    <x v="0"/>
    <x v="0"/>
    <x v="1"/>
    <s v="Gazipura 27"/>
    <s v="1km -3km"/>
    <x v="0"/>
    <n v="155"/>
    <x v="1"/>
    <x v="7"/>
    <x v="0"/>
    <x v="3"/>
  </r>
  <r>
    <s v="ACX68"/>
    <s v="Merajul "/>
    <x v="0"/>
    <x v="6"/>
    <x v="2"/>
    <x v="1"/>
    <d v="2024-06-07T00:00:00"/>
    <d v="2023-12-10T00:00:00"/>
    <x v="0"/>
    <x v="1"/>
    <x v="2"/>
    <s v="Gazipura 27"/>
    <s v="1km -3km"/>
    <x v="0"/>
    <n v="20000"/>
    <x v="1"/>
    <x v="7"/>
    <x v="0"/>
    <x v="3"/>
  </r>
  <r>
    <s v="ACX69"/>
    <s v="Rashedul Islam"/>
    <x v="0"/>
    <x v="7"/>
    <x v="2"/>
    <x v="1"/>
    <d v="2024-06-07T00:00:00"/>
    <d v="2023-12-10T00:00:00"/>
    <x v="0"/>
    <x v="0"/>
    <x v="2"/>
    <s v="Gazipura 27"/>
    <s v="1km -3km"/>
    <x v="0"/>
    <n v="20000"/>
    <x v="1"/>
    <x v="7"/>
    <x v="0"/>
    <x v="3"/>
  </r>
  <r>
    <s v="ACX70"/>
    <s v="Shamim Hossen"/>
    <x v="5"/>
    <x v="0"/>
    <x v="2"/>
    <x v="1"/>
    <d v="2024-06-07T00:00:00"/>
    <d v="2023-12-10T00:00:00"/>
    <x v="0"/>
    <x v="0"/>
    <x v="2"/>
    <s v="Gazipura 27"/>
    <s v="1km -3km"/>
    <x v="0"/>
    <n v="26526"/>
    <x v="0"/>
    <x v="7"/>
    <x v="0"/>
    <x v="3"/>
  </r>
  <r>
    <s v="ACX71"/>
    <s v="Mahafuj Zim Megh"/>
    <x v="0"/>
    <x v="0"/>
    <x v="2"/>
    <x v="1"/>
    <d v="2024-06-07T00:00:00"/>
    <d v="2023-12-10T00:00:00"/>
    <x v="0"/>
    <x v="1"/>
    <x v="3"/>
    <s v="Board Bazar"/>
    <s v="3km-5km"/>
    <x v="0"/>
    <n v="10000"/>
    <x v="0"/>
    <x v="7"/>
    <x v="0"/>
    <x v="3"/>
  </r>
  <r>
    <s v="ACX72"/>
    <s v="Tarikul Islam"/>
    <x v="5"/>
    <x v="0"/>
    <x v="2"/>
    <x v="1"/>
    <d v="2024-06-07T00:00:00"/>
    <d v="2023-12-10T00:00:00"/>
    <x v="0"/>
    <x v="0"/>
    <x v="1"/>
    <s v="Gazipura 27"/>
    <s v="1km -3km"/>
    <x v="0"/>
    <n v="10000"/>
    <x v="0"/>
    <x v="7"/>
    <x v="0"/>
    <x v="3"/>
  </r>
  <r>
    <s v="ACX73"/>
    <s v="Md. Mahfujur Rahman"/>
    <x v="0"/>
    <x v="0"/>
    <x v="2"/>
    <x v="1"/>
    <d v="2024-06-07T00:00:00"/>
    <d v="2023-12-10T00:00:00"/>
    <x v="0"/>
    <x v="0"/>
    <x v="0"/>
    <s v="Board Bazar"/>
    <s v="3km-5km"/>
    <x v="0"/>
    <n v="262"/>
    <x v="0"/>
    <x v="7"/>
    <x v="0"/>
    <x v="3"/>
  </r>
  <r>
    <s v="ACX74"/>
    <s v="Prarvin Akter"/>
    <x v="2"/>
    <x v="0"/>
    <x v="2"/>
    <x v="1"/>
    <d v="2024-06-08T00:00:00"/>
    <d v="2023-12-11T00:00:00"/>
    <x v="1"/>
    <x v="0"/>
    <x v="2"/>
    <s v="Sign board"/>
    <s v="3km-5km"/>
    <x v="0"/>
    <n v="10000"/>
    <x v="0"/>
    <x v="7"/>
    <x v="0"/>
    <x v="3"/>
  </r>
  <r>
    <s v="ACX75"/>
    <s v="Mahmudul Hasan"/>
    <x v="3"/>
    <x v="0"/>
    <x v="2"/>
    <x v="1"/>
    <d v="2024-06-08T00:00:00"/>
    <d v="2023-12-11T00:00:00"/>
    <x v="0"/>
    <x v="0"/>
    <x v="2"/>
    <s v="Board Bazar"/>
    <s v="3km-5km"/>
    <x v="0"/>
    <n v="10000"/>
    <x v="0"/>
    <x v="7"/>
    <x v="0"/>
    <x v="3"/>
  </r>
  <r>
    <s v="ACX76"/>
    <s v="Mehedi Hasan Shanto"/>
    <x v="3"/>
    <x v="0"/>
    <x v="2"/>
    <x v="1"/>
    <d v="2024-06-08T00:00:00"/>
    <d v="2023-12-11T00:00:00"/>
    <x v="0"/>
    <x v="0"/>
    <x v="3"/>
    <s v="Board Bazar"/>
    <s v="3km-5km"/>
    <x v="0"/>
    <n v="1626"/>
    <x v="0"/>
    <x v="7"/>
    <x v="0"/>
    <x v="3"/>
  </r>
  <r>
    <s v="ACX77"/>
    <s v="Safikul Islam Emon"/>
    <x v="2"/>
    <x v="0"/>
    <x v="2"/>
    <x v="1"/>
    <d v="2024-06-08T00:00:00"/>
    <d v="2023-12-11T00:00:00"/>
    <x v="0"/>
    <x v="0"/>
    <x v="0"/>
    <s v="Ershad Nagar"/>
    <s v="1km -3km"/>
    <x v="0"/>
    <n v="10000"/>
    <x v="0"/>
    <x v="7"/>
    <x v="0"/>
    <x v="3"/>
  </r>
  <r>
    <s v="ACX78"/>
    <s v="Nazmul Islam Emon"/>
    <x v="2"/>
    <x v="0"/>
    <x v="2"/>
    <x v="1"/>
    <d v="2024-06-08T00:00:00"/>
    <d v="2023-12-11T00:00:00"/>
    <x v="0"/>
    <x v="0"/>
    <x v="2"/>
    <s v="Ershad Nagar"/>
    <s v="1km -3km"/>
    <x v="0"/>
    <n v="10000"/>
    <x v="0"/>
    <x v="7"/>
    <x v="0"/>
    <x v="3"/>
  </r>
  <r>
    <s v="ACX79"/>
    <s v="Junaed Hasan"/>
    <x v="3"/>
    <x v="0"/>
    <x v="2"/>
    <x v="1"/>
    <d v="2024-06-08T00:00:00"/>
    <d v="2023-12-11T00:00:00"/>
    <x v="0"/>
    <x v="0"/>
    <x v="5"/>
    <s v="Gacha"/>
    <s v="3km-5km"/>
    <x v="0"/>
    <n v="266"/>
    <x v="0"/>
    <x v="7"/>
    <x v="0"/>
    <x v="3"/>
  </r>
  <r>
    <s v="ACX80"/>
    <s v="Din Mohammed Rabbi"/>
    <x v="3"/>
    <x v="0"/>
    <x v="2"/>
    <x v="1"/>
    <d v="2024-06-08T00:00:00"/>
    <d v="2023-12-11T00:00:00"/>
    <x v="0"/>
    <x v="0"/>
    <x v="1"/>
    <s v="Ershad Nagar"/>
    <s v="1km -3km"/>
    <x v="0"/>
    <n v="10000"/>
    <x v="0"/>
    <x v="7"/>
    <x v="0"/>
    <x v="3"/>
  </r>
  <r>
    <s v="ACX81"/>
    <s v="Fazlul Haque"/>
    <x v="3"/>
    <x v="1"/>
    <x v="2"/>
    <x v="1"/>
    <d v="2024-06-08T00:00:00"/>
    <d v="2023-12-11T00:00:00"/>
    <x v="0"/>
    <x v="1"/>
    <x v="5"/>
    <s v="Gazipura 27"/>
    <s v="1km -3km"/>
    <x v="0"/>
    <n v="10000"/>
    <x v="1"/>
    <x v="7"/>
    <x v="0"/>
    <x v="3"/>
  </r>
  <r>
    <s v="ACX82"/>
    <s v="Md. Faruk Hossain"/>
    <x v="3"/>
    <x v="0"/>
    <x v="2"/>
    <x v="1"/>
    <d v="2024-06-08T00:00:00"/>
    <d v="2023-12-11T00:00:00"/>
    <x v="0"/>
    <x v="0"/>
    <x v="5"/>
    <s v="Gazipura 27"/>
    <s v="1km -3km"/>
    <x v="0"/>
    <n v="16"/>
    <x v="0"/>
    <x v="7"/>
    <x v="0"/>
    <x v="3"/>
  </r>
  <r>
    <s v="ACX83"/>
    <s v="Md. Shihab Uddin"/>
    <x v="3"/>
    <x v="0"/>
    <x v="2"/>
    <x v="1"/>
    <d v="2024-06-08T00:00:00"/>
    <d v="2023-12-11T00:00:00"/>
    <x v="0"/>
    <x v="0"/>
    <x v="1"/>
    <s v="Gazipura 27"/>
    <s v="1km -3km"/>
    <x v="0"/>
    <n v="1000"/>
    <x v="0"/>
    <x v="7"/>
    <x v="0"/>
    <x v="3"/>
  </r>
  <r>
    <s v="ACX84"/>
    <s v="Masum Rana"/>
    <x v="2"/>
    <x v="0"/>
    <x v="2"/>
    <x v="1"/>
    <d v="2024-06-08T00:00:00"/>
    <d v="2023-12-11T00:00:00"/>
    <x v="0"/>
    <x v="0"/>
    <x v="1"/>
    <s v="Gazipura 27"/>
    <s v="1km -3km"/>
    <x v="0"/>
    <n v="1000"/>
    <x v="0"/>
    <x v="7"/>
    <x v="0"/>
    <x v="3"/>
  </r>
  <r>
    <s v="ACX85"/>
    <s v="Md. Imran Hossain"/>
    <x v="3"/>
    <x v="0"/>
    <x v="2"/>
    <x v="1"/>
    <d v="2024-06-08T00:00:00"/>
    <d v="2023-12-11T00:00:00"/>
    <x v="0"/>
    <x v="0"/>
    <x v="0"/>
    <s v="Gazipura 27"/>
    <s v="1km -3km"/>
    <x v="0"/>
    <n v="616"/>
    <x v="0"/>
    <x v="7"/>
    <x v="0"/>
    <x v="3"/>
  </r>
  <r>
    <s v="ACX86"/>
    <s v="Mahafuzur Rahman"/>
    <x v="2"/>
    <x v="0"/>
    <x v="2"/>
    <x v="1"/>
    <d v="2024-06-08T00:00:00"/>
    <d v="2023-12-11T00:00:00"/>
    <x v="0"/>
    <x v="0"/>
    <x v="3"/>
    <s v="Gazipura 27"/>
    <s v="1km -3km"/>
    <x v="0"/>
    <n v="1000"/>
    <x v="0"/>
    <x v="7"/>
    <x v="0"/>
    <x v="3"/>
  </r>
  <r>
    <s v="ACX87"/>
    <s v="Md. Shahrier Nayeem"/>
    <x v="2"/>
    <x v="0"/>
    <x v="2"/>
    <x v="1"/>
    <d v="2024-06-08T00:00:00"/>
    <d v="2023-12-11T00:00:00"/>
    <x v="0"/>
    <x v="0"/>
    <x v="3"/>
    <s v="Board Bazar"/>
    <s v="3km-5km"/>
    <x v="0"/>
    <n v="1000"/>
    <x v="0"/>
    <x v="7"/>
    <x v="0"/>
    <x v="3"/>
  </r>
  <r>
    <s v="ACX88"/>
    <s v="Faysal Hossain"/>
    <x v="2"/>
    <x v="0"/>
    <x v="2"/>
    <x v="1"/>
    <d v="2024-06-08T00:00:00"/>
    <d v="2023-12-11T00:00:00"/>
    <x v="0"/>
    <x v="0"/>
    <x v="5"/>
    <s v="Boro Bari"/>
    <s v="3km-5km"/>
    <x v="0"/>
    <n v="1662"/>
    <x v="0"/>
    <x v="7"/>
    <x v="0"/>
    <x v="3"/>
  </r>
  <r>
    <s v="ACX89"/>
    <s v="Sabbir Hossain Sagor"/>
    <x v="3"/>
    <x v="0"/>
    <x v="2"/>
    <x v="1"/>
    <d v="2024-06-08T00:00:00"/>
    <d v="2023-12-11T00:00:00"/>
    <x v="0"/>
    <x v="0"/>
    <x v="1"/>
    <s v="Gazipura 27"/>
    <s v="1km -3km"/>
    <x v="0"/>
    <n v="10000"/>
    <x v="0"/>
    <x v="7"/>
    <x v="0"/>
    <x v="3"/>
  </r>
  <r>
    <s v="ACX90"/>
    <s v="Faysal Mahamud"/>
    <x v="2"/>
    <x v="0"/>
    <x v="2"/>
    <x v="1"/>
    <d v="2024-06-08T00:00:00"/>
    <d v="2023-12-11T00:00:00"/>
    <x v="0"/>
    <x v="0"/>
    <x v="2"/>
    <s v="Gazipura 27"/>
    <s v="1km -3km"/>
    <x v="0"/>
    <n v="16326"/>
    <x v="0"/>
    <x v="7"/>
    <x v="0"/>
    <x v="3"/>
  </r>
  <r>
    <s v="ACX91"/>
    <s v="Md. Samiul Islam"/>
    <x v="2"/>
    <x v="0"/>
    <x v="2"/>
    <x v="1"/>
    <d v="2024-06-08T00:00:00"/>
    <d v="2023-12-11T00:00:00"/>
    <x v="0"/>
    <x v="1"/>
    <x v="5"/>
    <s v="Gazipura 27"/>
    <s v="1km -3km"/>
    <x v="0"/>
    <n v="10000"/>
    <x v="0"/>
    <x v="7"/>
    <x v="0"/>
    <x v="3"/>
  </r>
  <r>
    <s v="ACX92"/>
    <s v="Sojib Hossain"/>
    <x v="3"/>
    <x v="0"/>
    <x v="2"/>
    <x v="1"/>
    <d v="2024-06-08T00:00:00"/>
    <d v="2023-12-11T00:00:00"/>
    <x v="0"/>
    <x v="0"/>
    <x v="2"/>
    <s v="Gazipura 27"/>
    <s v="1km -3km"/>
    <x v="0"/>
    <n v="26265"/>
    <x v="0"/>
    <x v="7"/>
    <x v="0"/>
    <x v="3"/>
  </r>
  <r>
    <s v="ACX93"/>
    <s v="Rahul Mia"/>
    <x v="0"/>
    <x v="0"/>
    <x v="2"/>
    <x v="1"/>
    <d v="2024-06-08T00:00:00"/>
    <d v="2023-12-11T00:00:00"/>
    <x v="0"/>
    <x v="0"/>
    <x v="2"/>
    <s v="Gazipura 27"/>
    <s v="1km -3km"/>
    <x v="0"/>
    <n v="2162"/>
    <x v="0"/>
    <x v="7"/>
    <x v="0"/>
    <x v="3"/>
  </r>
  <r>
    <s v="ACX94"/>
    <s v="Munni Akter"/>
    <x v="0"/>
    <x v="0"/>
    <x v="2"/>
    <x v="1"/>
    <d v="2024-06-08T00:00:00"/>
    <d v="2023-12-11T00:00:00"/>
    <x v="1"/>
    <x v="0"/>
    <x v="2"/>
    <s v="Board Bazar"/>
    <s v="3km-5km"/>
    <x v="0"/>
    <n v="10000"/>
    <x v="0"/>
    <x v="7"/>
    <x v="0"/>
    <x v="3"/>
  </r>
  <r>
    <s v="ACX95"/>
    <s v="Tonima Shams"/>
    <x v="5"/>
    <x v="0"/>
    <x v="2"/>
    <x v="1"/>
    <d v="2024-06-08T00:00:00"/>
    <d v="2023-12-11T00:00:00"/>
    <x v="1"/>
    <x v="0"/>
    <x v="1"/>
    <s v="Gazipura 27"/>
    <s v="1km -3km"/>
    <x v="0"/>
    <n v="16521"/>
    <x v="0"/>
    <x v="7"/>
    <x v="0"/>
    <x v="3"/>
  </r>
  <r>
    <s v="ACX96"/>
    <s v="Nadia Sultana Beauty"/>
    <x v="5"/>
    <x v="0"/>
    <x v="2"/>
    <x v="1"/>
    <d v="2024-06-08T00:00:00"/>
    <d v="2023-12-11T00:00:00"/>
    <x v="1"/>
    <x v="0"/>
    <x v="0"/>
    <s v="Shimultoli"/>
    <s v="3km-5km"/>
    <x v="0"/>
    <n v="21625"/>
    <x v="0"/>
    <x v="7"/>
    <x v="0"/>
    <x v="3"/>
  </r>
  <r>
    <s v="ACX97"/>
    <s v="Sorovi"/>
    <x v="0"/>
    <x v="0"/>
    <x v="2"/>
    <x v="1"/>
    <d v="2024-06-08T00:00:00"/>
    <d v="2023-12-11T00:00:00"/>
    <x v="1"/>
    <x v="0"/>
    <x v="0"/>
    <s v="Gazipur Chowrasta"/>
    <s v="5-10km"/>
    <x v="0"/>
    <n v="6526"/>
    <x v="0"/>
    <x v="7"/>
    <x v="0"/>
    <x v="3"/>
  </r>
  <r>
    <s v="ACX98"/>
    <s v="Kulsum Akter"/>
    <x v="0"/>
    <x v="0"/>
    <x v="2"/>
    <x v="1"/>
    <d v="2024-06-08T00:00:00"/>
    <d v="2023-12-11T00:00:00"/>
    <x v="1"/>
    <x v="0"/>
    <x v="1"/>
    <s v="College Gate"/>
    <s v="3km-5km"/>
    <x v="0"/>
    <n v="655"/>
    <x v="0"/>
    <x v="7"/>
    <x v="0"/>
    <x v="3"/>
  </r>
  <r>
    <s v="ACX99"/>
    <s v="Antora Khatun"/>
    <x v="0"/>
    <x v="0"/>
    <x v="2"/>
    <x v="1"/>
    <d v="2024-06-08T00:00:00"/>
    <d v="2023-12-11T00:00:00"/>
    <x v="1"/>
    <x v="1"/>
    <x v="0"/>
    <s v="Gazipura 27"/>
    <s v="1km -3km"/>
    <x v="0"/>
    <n v="62146"/>
    <x v="0"/>
    <x v="7"/>
    <x v="0"/>
    <x v="3"/>
  </r>
  <r>
    <s v="ACX100"/>
    <s v="Rokrya Akter Eti"/>
    <x v="0"/>
    <x v="0"/>
    <x v="2"/>
    <x v="1"/>
    <d v="2024-06-08T00:00:00"/>
    <d v="2023-12-11T00:00:00"/>
    <x v="1"/>
    <x v="0"/>
    <x v="3"/>
    <s v="Board Bazar"/>
    <s v="3km-5km"/>
    <x v="0"/>
    <n v="2656"/>
    <x v="0"/>
    <x v="7"/>
    <x v="0"/>
    <x v="3"/>
  </r>
  <r>
    <s v="ACX101"/>
    <s v="Sumaiya Khanom"/>
    <x v="3"/>
    <x v="0"/>
    <x v="2"/>
    <x v="1"/>
    <d v="2024-06-08T00:00:00"/>
    <d v="2023-12-11T00:00:00"/>
    <x v="1"/>
    <x v="0"/>
    <x v="0"/>
    <s v="Gazipura 27"/>
    <s v="1km -3km"/>
    <x v="0"/>
    <n v="216"/>
    <x v="0"/>
    <x v="7"/>
    <x v="0"/>
    <x v="3"/>
  </r>
  <r>
    <s v="ACX102"/>
    <s v="Sumaya Akter"/>
    <x v="2"/>
    <x v="0"/>
    <x v="2"/>
    <x v="1"/>
    <d v="2024-06-08T00:00:00"/>
    <d v="2023-12-11T00:00:00"/>
    <x v="1"/>
    <x v="0"/>
    <x v="1"/>
    <s v="Gazipura 27"/>
    <s v="1km -3km"/>
    <x v="0"/>
    <n v="65143"/>
    <x v="0"/>
    <x v="7"/>
    <x v="0"/>
    <x v="3"/>
  </r>
  <r>
    <s v="ACX103"/>
    <s v="Armina Akter Akhi"/>
    <x v="2"/>
    <x v="0"/>
    <x v="2"/>
    <x v="1"/>
    <d v="2024-06-08T00:00:00"/>
    <d v="2023-12-11T00:00:00"/>
    <x v="1"/>
    <x v="0"/>
    <x v="0"/>
    <s v="Gazipura 27"/>
    <s v="1km -3km"/>
    <x v="0"/>
    <n v="10000"/>
    <x v="0"/>
    <x v="7"/>
    <x v="0"/>
    <x v="3"/>
  </r>
  <r>
    <s v="ACX104"/>
    <s v="Md. Nadim Mahmud"/>
    <x v="2"/>
    <x v="0"/>
    <x v="2"/>
    <x v="1"/>
    <d v="2024-06-08T00:00:00"/>
    <d v="2023-12-11T00:00:00"/>
    <x v="0"/>
    <x v="0"/>
    <x v="1"/>
    <s v="Gazipura 27"/>
    <s v="1km -3km"/>
    <x v="0"/>
    <n v="10000"/>
    <x v="0"/>
    <x v="7"/>
    <x v="0"/>
    <x v="3"/>
  </r>
  <r>
    <s v="ACX105"/>
    <s v="Md. Minhajul Islam"/>
    <x v="3"/>
    <x v="0"/>
    <x v="2"/>
    <x v="1"/>
    <d v="2024-06-08T00:00:00"/>
    <d v="2023-12-11T00:00:00"/>
    <x v="0"/>
    <x v="0"/>
    <x v="3"/>
    <s v="Gazipura 27"/>
    <s v="1km -3km"/>
    <x v="0"/>
    <n v="5000"/>
    <x v="0"/>
    <x v="7"/>
    <x v="0"/>
    <x v="3"/>
  </r>
  <r>
    <s v="ACX106"/>
    <s v="Md. Yousuf Ali"/>
    <x v="2"/>
    <x v="0"/>
    <x v="2"/>
    <x v="1"/>
    <d v="2024-06-08T00:00:00"/>
    <d v="2023-12-11T00:00:00"/>
    <x v="0"/>
    <x v="0"/>
    <x v="0"/>
    <s v="Gazipura 27"/>
    <s v="1km -3km"/>
    <x v="0"/>
    <n v="5000"/>
    <x v="0"/>
    <x v="7"/>
    <x v="0"/>
    <x v="3"/>
  </r>
  <r>
    <s v="ACX107"/>
    <s v="Md. Nafish Muthashim Ratul"/>
    <x v="2"/>
    <x v="0"/>
    <x v="2"/>
    <x v="1"/>
    <d v="2024-06-08T00:00:00"/>
    <d v="2023-12-11T00:00:00"/>
    <x v="0"/>
    <x v="0"/>
    <x v="0"/>
    <s v="Gazipura 27"/>
    <s v="1km -3km"/>
    <x v="0"/>
    <n v="5000"/>
    <x v="0"/>
    <x v="7"/>
    <x v="0"/>
    <x v="3"/>
  </r>
  <r>
    <s v="ACX108"/>
    <s v="Md. Babu Mia"/>
    <x v="2"/>
    <x v="0"/>
    <x v="2"/>
    <x v="1"/>
    <d v="2024-06-08T00:00:00"/>
    <d v="2023-12-11T00:00:00"/>
    <x v="0"/>
    <x v="0"/>
    <x v="1"/>
    <s v="Gazipur Chowrasta"/>
    <s v="5-10km"/>
    <x v="0"/>
    <n v="5000"/>
    <x v="0"/>
    <x v="7"/>
    <x v="0"/>
    <x v="3"/>
  </r>
  <r>
    <s v="ACX109"/>
    <s v="Samsur Rahman Shakil"/>
    <x v="3"/>
    <x v="0"/>
    <x v="2"/>
    <x v="1"/>
    <d v="2024-06-08T00:00:00"/>
    <d v="2023-12-11T00:00:00"/>
    <x v="0"/>
    <x v="0"/>
    <x v="0"/>
    <s v="Sign board"/>
    <s v="3km-5km"/>
    <x v="0"/>
    <n v="5000"/>
    <x v="0"/>
    <x v="7"/>
    <x v="0"/>
    <x v="3"/>
  </r>
  <r>
    <s v="ACX110"/>
    <s v="Md. Nahid Hasan Shaon"/>
    <x v="2"/>
    <x v="0"/>
    <x v="2"/>
    <x v="1"/>
    <d v="2024-06-08T00:00:00"/>
    <d v="2023-12-11T00:00:00"/>
    <x v="0"/>
    <x v="0"/>
    <x v="4"/>
    <s v="Hossen Market"/>
    <s v="1km -3km"/>
    <x v="0"/>
    <n v="5000"/>
    <x v="0"/>
    <x v="7"/>
    <x v="0"/>
    <x v="3"/>
  </r>
  <r>
    <s v="ACX111"/>
    <s v="Shanta Priya"/>
    <x v="2"/>
    <x v="0"/>
    <x v="2"/>
    <x v="1"/>
    <d v="2024-06-08T00:00:00"/>
    <d v="2023-12-11T00:00:00"/>
    <x v="1"/>
    <x v="0"/>
    <x v="0"/>
    <s v="Gazipura 27"/>
    <s v="1km -3km"/>
    <x v="0"/>
    <n v="5000"/>
    <x v="0"/>
    <x v="7"/>
    <x v="0"/>
    <x v="3"/>
  </r>
  <r>
    <s v="ACX112"/>
    <s v="Md. Abdul Kader"/>
    <x v="5"/>
    <x v="0"/>
    <x v="2"/>
    <x v="1"/>
    <d v="2024-06-08T00:00:00"/>
    <d v="2023-12-11T00:00:00"/>
    <x v="0"/>
    <x v="0"/>
    <x v="2"/>
    <s v="Mouchak"/>
    <s v="10-15km"/>
    <x v="0"/>
    <n v="5000"/>
    <x v="0"/>
    <x v="7"/>
    <x v="0"/>
    <x v="3"/>
  </r>
  <r>
    <s v="ACX113"/>
    <s v="Md. Sagor Hossain"/>
    <x v="2"/>
    <x v="0"/>
    <x v="2"/>
    <x v="1"/>
    <d v="2024-06-08T00:00:00"/>
    <d v="2023-12-11T00:00:00"/>
    <x v="0"/>
    <x v="0"/>
    <x v="2"/>
    <s v="Gazipura 27"/>
    <s v="1km -3km"/>
    <x v="0"/>
    <n v="5000"/>
    <x v="0"/>
    <x v="7"/>
    <x v="0"/>
    <x v="3"/>
  </r>
  <r>
    <s v="ACX114"/>
    <s v="Masud Islam Fahim"/>
    <x v="0"/>
    <x v="0"/>
    <x v="2"/>
    <x v="1"/>
    <d v="2024-06-08T00:00:00"/>
    <d v="2023-12-11T00:00:00"/>
    <x v="0"/>
    <x v="0"/>
    <x v="2"/>
    <s v="Bason"/>
    <s v="5km-10km"/>
    <x v="0"/>
    <n v="5000"/>
    <x v="0"/>
    <x v="7"/>
    <x v="0"/>
    <x v="3"/>
  </r>
  <r>
    <s v="ACX115"/>
    <s v="Md. Manik Mia"/>
    <x v="2"/>
    <x v="4"/>
    <x v="2"/>
    <x v="1"/>
    <d v="2024-06-08T00:00:00"/>
    <d v="2023-12-11T00:00:00"/>
    <x v="0"/>
    <x v="0"/>
    <x v="1"/>
    <s v="Gazipur Chowrasta"/>
    <s v="5-10km"/>
    <x v="0"/>
    <n v="5000"/>
    <x v="1"/>
    <x v="7"/>
    <x v="0"/>
    <x v="3"/>
  </r>
  <r>
    <s v="ACX116"/>
    <s v="Md. Shajibur Rahaman"/>
    <x v="2"/>
    <x v="2"/>
    <x v="2"/>
    <x v="1"/>
    <d v="2024-06-09T00:00:00"/>
    <d v="2023-12-12T00:00:00"/>
    <x v="0"/>
    <x v="0"/>
    <x v="2"/>
    <s v="Gazipura 27"/>
    <s v="1km -3km"/>
    <x v="0"/>
    <n v="5000"/>
    <x v="1"/>
    <x v="7"/>
    <x v="0"/>
    <x v="3"/>
  </r>
  <r>
    <s v="ACX117"/>
    <s v="Limon"/>
    <x v="2"/>
    <x v="2"/>
    <x v="2"/>
    <x v="1"/>
    <d v="2024-06-09T00:00:00"/>
    <d v="2023-12-12T00:00:00"/>
    <x v="0"/>
    <x v="0"/>
    <x v="0"/>
    <s v="Gazipura 27"/>
    <s v="1km -3km"/>
    <x v="0"/>
    <n v="5000"/>
    <x v="1"/>
    <x v="7"/>
    <x v="0"/>
    <x v="3"/>
  </r>
  <r>
    <s v="ACX118"/>
    <s v="Hossen"/>
    <x v="3"/>
    <x v="2"/>
    <x v="2"/>
    <x v="1"/>
    <d v="2024-06-09T00:00:00"/>
    <d v="2023-12-12T00:00:00"/>
    <x v="0"/>
    <x v="0"/>
    <x v="0"/>
    <s v="Board Bazar"/>
    <s v="3km-5km"/>
    <x v="0"/>
    <n v="5000"/>
    <x v="1"/>
    <x v="7"/>
    <x v="0"/>
    <x v="3"/>
  </r>
  <r>
    <s v="ACX119"/>
    <s v="Md. Raju Mia"/>
    <x v="0"/>
    <x v="2"/>
    <x v="2"/>
    <x v="1"/>
    <d v="2024-06-09T00:00:00"/>
    <d v="2023-12-12T00:00:00"/>
    <x v="0"/>
    <x v="0"/>
    <x v="1"/>
    <s v="Boro Bari"/>
    <s v="3km-5km"/>
    <x v="0"/>
    <n v="5000"/>
    <x v="1"/>
    <x v="7"/>
    <x v="0"/>
    <x v="3"/>
  </r>
  <r>
    <s v="ACX120"/>
    <s v="Md. Ammar Hossain"/>
    <x v="0"/>
    <x v="2"/>
    <x v="2"/>
    <x v="1"/>
    <d v="2024-06-09T00:00:00"/>
    <d v="2023-12-12T00:00:00"/>
    <x v="0"/>
    <x v="0"/>
    <x v="5"/>
    <s v="Ershad Nagar"/>
    <s v="1km -3km"/>
    <x v="0"/>
    <n v="5000"/>
    <x v="1"/>
    <x v="7"/>
    <x v="0"/>
    <x v="3"/>
  </r>
  <r>
    <s v="ACX121"/>
    <s v="Nadim Al Kamal Murad"/>
    <x v="5"/>
    <x v="5"/>
    <x v="2"/>
    <x v="1"/>
    <d v="2024-06-09T00:00:00"/>
    <d v="2023-12-12T00:00:00"/>
    <x v="0"/>
    <x v="1"/>
    <x v="0"/>
    <s v="Airport"/>
    <s v="5-10km"/>
    <x v="0"/>
    <n v="5000"/>
    <x v="1"/>
    <x v="7"/>
    <x v="0"/>
    <x v="3"/>
  </r>
  <r>
    <s v="ACX122"/>
    <s v="Manik Sharker"/>
    <x v="5"/>
    <x v="3"/>
    <x v="2"/>
    <x v="1"/>
    <d v="2024-06-09T00:00:00"/>
    <d v="2023-12-12T00:00:00"/>
    <x v="0"/>
    <x v="0"/>
    <x v="0"/>
    <s v="Gazipur Sadar"/>
    <s v="10-15km"/>
    <x v="0"/>
    <n v="5000"/>
    <x v="1"/>
    <x v="7"/>
    <x v="0"/>
    <x v="3"/>
  </r>
  <r>
    <s v="ACX123"/>
    <s v="Samiul Hoque"/>
    <x v="0"/>
    <x v="6"/>
    <x v="2"/>
    <x v="1"/>
    <d v="2024-06-09T00:00:00"/>
    <d v="2023-12-12T00:00:00"/>
    <x v="0"/>
    <x v="0"/>
    <x v="0"/>
    <s v="Uttara"/>
    <s v="5-10km"/>
    <x v="0"/>
    <n v="5000"/>
    <x v="1"/>
    <x v="7"/>
    <x v="0"/>
    <x v="3"/>
  </r>
  <r>
    <s v="ACX124"/>
    <s v="Rashid Mahmud"/>
    <x v="0"/>
    <x v="7"/>
    <x v="2"/>
    <x v="1"/>
    <d v="2024-06-09T00:00:00"/>
    <d v="2023-12-12T00:00:00"/>
    <x v="0"/>
    <x v="0"/>
    <x v="1"/>
    <s v="Gazipura 27"/>
    <s v="1km -3km"/>
    <x v="0"/>
    <n v="5000"/>
    <x v="1"/>
    <x v="7"/>
    <x v="0"/>
    <x v="3"/>
  </r>
  <r>
    <s v="ACX125"/>
    <s v="Md. Riad Hasan"/>
    <x v="0"/>
    <x v="0"/>
    <x v="2"/>
    <x v="1"/>
    <d v="2024-06-09T00:00:00"/>
    <d v="2023-12-12T00:00:00"/>
    <x v="0"/>
    <x v="0"/>
    <x v="0"/>
    <s v="Gazipura 27"/>
    <s v="1km -3km"/>
    <x v="0"/>
    <n v="5000"/>
    <x v="0"/>
    <x v="7"/>
    <x v="0"/>
    <x v="3"/>
  </r>
  <r>
    <s v="ACX126"/>
    <s v="Md. Junied Mahtav Muin"/>
    <x v="0"/>
    <x v="0"/>
    <x v="2"/>
    <x v="1"/>
    <d v="2024-06-09T00:00:00"/>
    <d v="2023-12-12T00:00:00"/>
    <x v="0"/>
    <x v="0"/>
    <x v="2"/>
    <s v="Hariken"/>
    <s v="3km-5km"/>
    <x v="0"/>
    <n v="52542"/>
    <x v="0"/>
    <x v="7"/>
    <x v="0"/>
    <x v="3"/>
  </r>
  <r>
    <s v="ACX127"/>
    <s v="Mst. Muslima"/>
    <x v="3"/>
    <x v="0"/>
    <x v="2"/>
    <x v="1"/>
    <d v="2024-06-09T00:00:00"/>
    <d v="2023-12-12T00:00:00"/>
    <x v="1"/>
    <x v="1"/>
    <x v="2"/>
    <s v="Ershad Nagar"/>
    <s v="1km -3km"/>
    <x v="0"/>
    <n v="5000"/>
    <x v="0"/>
    <x v="7"/>
    <x v="0"/>
    <x v="3"/>
  </r>
  <r>
    <s v="ACX128"/>
    <s v="Md. Jahid Hasan Joy"/>
    <x v="2"/>
    <x v="0"/>
    <x v="2"/>
    <x v="1"/>
    <d v="2024-06-09T00:00:00"/>
    <d v="2023-12-12T00:00:00"/>
    <x v="0"/>
    <x v="0"/>
    <x v="1"/>
    <s v="Ershad Nagar"/>
    <s v="1km -3km"/>
    <x v="0"/>
    <n v="5000"/>
    <x v="0"/>
    <x v="7"/>
    <x v="0"/>
    <x v="3"/>
  </r>
  <r>
    <s v="ACX129"/>
    <s v="Reduyan Ahmed Ajmir"/>
    <x v="2"/>
    <x v="0"/>
    <x v="2"/>
    <x v="1"/>
    <d v="2024-06-09T00:00:00"/>
    <d v="2023-12-12T00:00:00"/>
    <x v="0"/>
    <x v="0"/>
    <x v="0"/>
    <s v="Ershad Nagar"/>
    <s v="1km -3km"/>
    <x v="0"/>
    <n v="5000"/>
    <x v="0"/>
    <x v="7"/>
    <x v="0"/>
    <x v="3"/>
  </r>
  <r>
    <s v="ACX130"/>
    <s v="Md. Sajib Hossain"/>
    <x v="2"/>
    <x v="0"/>
    <x v="2"/>
    <x v="1"/>
    <d v="2024-06-09T00:00:00"/>
    <d v="2023-12-12T00:00:00"/>
    <x v="0"/>
    <x v="0"/>
    <x v="1"/>
    <s v="Ershad Nagar"/>
    <s v="1km -3km"/>
    <x v="0"/>
    <n v="5000"/>
    <x v="0"/>
    <x v="7"/>
    <x v="0"/>
    <x v="3"/>
  </r>
  <r>
    <s v="ACX131"/>
    <s v="Rayhan Habib"/>
    <x v="3"/>
    <x v="0"/>
    <x v="2"/>
    <x v="1"/>
    <d v="2024-06-09T00:00:00"/>
    <d v="2023-12-12T00:00:00"/>
    <x v="0"/>
    <x v="1"/>
    <x v="0"/>
    <s v="Ershad Nagar"/>
    <s v="1km -3km"/>
    <x v="0"/>
    <n v="5000"/>
    <x v="0"/>
    <x v="7"/>
    <x v="0"/>
    <x v="3"/>
  </r>
  <r>
    <s v="ACX132"/>
    <s v="Md. Al Amin Hossain Shanto"/>
    <x v="2"/>
    <x v="0"/>
    <x v="2"/>
    <x v="1"/>
    <d v="2024-06-09T00:00:00"/>
    <d v="2023-12-12T00:00:00"/>
    <x v="0"/>
    <x v="0"/>
    <x v="5"/>
    <s v="Ershad Nagar"/>
    <s v="1km -3km"/>
    <x v="0"/>
    <n v="5000"/>
    <x v="0"/>
    <x v="7"/>
    <x v="0"/>
    <x v="3"/>
  </r>
  <r>
    <s v="ACX133"/>
    <s v="Mohibul Hasan"/>
    <x v="0"/>
    <x v="0"/>
    <x v="2"/>
    <x v="1"/>
    <d v="2024-06-09T00:00:00"/>
    <d v="2023-12-12T00:00:00"/>
    <x v="0"/>
    <x v="1"/>
    <x v="0"/>
    <s v="Tongi Bazar"/>
    <s v="5-10km"/>
    <x v="0"/>
    <n v="5000"/>
    <x v="0"/>
    <x v="7"/>
    <x v="0"/>
    <x v="3"/>
  </r>
  <r>
    <s v="ACX134"/>
    <s v="Md. Farhad Mia"/>
    <x v="2"/>
    <x v="0"/>
    <x v="2"/>
    <x v="1"/>
    <d v="2024-06-09T00:00:00"/>
    <d v="2023-12-12T00:00:00"/>
    <x v="0"/>
    <x v="0"/>
    <x v="0"/>
    <s v="Ershad Nagar"/>
    <s v="1km -3km"/>
    <x v="0"/>
    <n v="5000"/>
    <x v="0"/>
    <x v="7"/>
    <x v="0"/>
    <x v="3"/>
  </r>
  <r>
    <s v="ACX135"/>
    <s v="Md. Limon Miah"/>
    <x v="2"/>
    <x v="0"/>
    <x v="2"/>
    <x v="1"/>
    <d v="2024-06-09T00:00:00"/>
    <d v="2023-12-12T00:00:00"/>
    <x v="0"/>
    <x v="0"/>
    <x v="0"/>
    <s v="Gazipura 27"/>
    <s v="1km -3km"/>
    <x v="0"/>
    <n v="5000"/>
    <x v="0"/>
    <x v="7"/>
    <x v="0"/>
    <x v="3"/>
  </r>
  <r>
    <s v="ACX136"/>
    <s v="Md. Nazmul Hossain"/>
    <x v="2"/>
    <x v="0"/>
    <x v="2"/>
    <x v="1"/>
    <d v="2024-06-09T00:00:00"/>
    <d v="2023-12-12T00:00:00"/>
    <x v="0"/>
    <x v="0"/>
    <x v="3"/>
    <s v="Ershad Nagar"/>
    <s v="1km -3km"/>
    <x v="0"/>
    <n v="5000"/>
    <x v="0"/>
    <x v="7"/>
    <x v="0"/>
    <x v="3"/>
  </r>
  <r>
    <s v="ACX137"/>
    <s v="Md. Nahidul Islam"/>
    <x v="2"/>
    <x v="0"/>
    <x v="2"/>
    <x v="1"/>
    <d v="2024-06-09T00:00:00"/>
    <d v="2023-12-12T00:00:00"/>
    <x v="0"/>
    <x v="1"/>
    <x v="2"/>
    <s v="Ershad Nagar"/>
    <s v="1km -3km"/>
    <x v="0"/>
    <n v="5000"/>
    <x v="0"/>
    <x v="7"/>
    <x v="0"/>
    <x v="3"/>
  </r>
  <r>
    <s v="ACX138"/>
    <s v="Mst. Nowshin Akter"/>
    <x v="0"/>
    <x v="0"/>
    <x v="2"/>
    <x v="1"/>
    <d v="2024-06-09T00:00:00"/>
    <d v="2023-12-12T00:00:00"/>
    <x v="1"/>
    <x v="1"/>
    <x v="3"/>
    <s v="Gazipura 27"/>
    <s v="1km -3km"/>
    <x v="0"/>
    <n v="5000"/>
    <x v="0"/>
    <x v="7"/>
    <x v="0"/>
    <x v="3"/>
  </r>
  <r>
    <s v="ACX139"/>
    <s v="Nowshad Jahan"/>
    <x v="3"/>
    <x v="0"/>
    <x v="2"/>
    <x v="1"/>
    <d v="2024-06-09T00:00:00"/>
    <d v="2023-12-12T00:00:00"/>
    <x v="1"/>
    <x v="0"/>
    <x v="3"/>
    <s v="Gazipura 27"/>
    <s v="1km -3km"/>
    <x v="0"/>
    <n v="5000"/>
    <x v="0"/>
    <x v="7"/>
    <x v="0"/>
    <x v="3"/>
  </r>
  <r>
    <s v="ACX140"/>
    <s v="Khadija Akter Mukta"/>
    <x v="0"/>
    <x v="0"/>
    <x v="2"/>
    <x v="1"/>
    <d v="2024-06-09T00:00:00"/>
    <d v="2023-12-12T00:00:00"/>
    <x v="1"/>
    <x v="1"/>
    <x v="1"/>
    <s v="Sign board"/>
    <s v="3km-5km"/>
    <x v="0"/>
    <n v="5000"/>
    <x v="0"/>
    <x v="7"/>
    <x v="0"/>
    <x v="3"/>
  </r>
  <r>
    <s v="ACX141"/>
    <s v="Rafia Sultana Rabu"/>
    <x v="3"/>
    <x v="0"/>
    <x v="2"/>
    <x v="1"/>
    <d v="2024-06-09T00:00:00"/>
    <d v="2023-12-12T00:00:00"/>
    <x v="1"/>
    <x v="0"/>
    <x v="1"/>
    <s v="Boro Bari"/>
    <s v="3km-5km"/>
    <x v="0"/>
    <n v="5000"/>
    <x v="0"/>
    <x v="7"/>
    <x v="0"/>
    <x v="3"/>
  </r>
  <r>
    <s v="ACX142"/>
    <s v="Most. Asrifa Jarin"/>
    <x v="3"/>
    <x v="0"/>
    <x v="2"/>
    <x v="1"/>
    <d v="2024-06-09T00:00:00"/>
    <d v="2023-12-12T00:00:00"/>
    <x v="1"/>
    <x v="0"/>
    <x v="3"/>
    <s v="Board Bazar"/>
    <s v="3km-5km"/>
    <x v="0"/>
    <n v="5000"/>
    <x v="0"/>
    <x v="7"/>
    <x v="0"/>
    <x v="3"/>
  </r>
  <r>
    <s v="ACX143"/>
    <s v="Sumaya Akter Suma"/>
    <x v="3"/>
    <x v="0"/>
    <x v="2"/>
    <x v="1"/>
    <d v="2024-06-09T00:00:00"/>
    <d v="2023-12-12T00:00:00"/>
    <x v="1"/>
    <x v="0"/>
    <x v="2"/>
    <s v="Board Bazar"/>
    <s v="3km-5km"/>
    <x v="0"/>
    <n v="5000"/>
    <x v="0"/>
    <x v="7"/>
    <x v="0"/>
    <x v="3"/>
  </r>
  <r>
    <s v="ACX144"/>
    <s v="Mst. Lucky Khatun"/>
    <x v="3"/>
    <x v="0"/>
    <x v="2"/>
    <x v="1"/>
    <d v="2024-06-09T00:00:00"/>
    <d v="2023-12-12T00:00:00"/>
    <x v="1"/>
    <x v="0"/>
    <x v="1"/>
    <s v="Gazipura 27"/>
    <s v="1km -3km"/>
    <x v="0"/>
    <n v="5000"/>
    <x v="0"/>
    <x v="7"/>
    <x v="0"/>
    <x v="3"/>
  </r>
  <r>
    <s v="ACX145"/>
    <s v="Fardus Ahmed"/>
    <x v="0"/>
    <x v="0"/>
    <x v="2"/>
    <x v="1"/>
    <d v="2024-06-09T00:00:00"/>
    <d v="2023-12-12T00:00:00"/>
    <x v="0"/>
    <x v="0"/>
    <x v="2"/>
    <s v="Gazipura 27"/>
    <s v="1km -3km"/>
    <x v="0"/>
    <n v="5000"/>
    <x v="0"/>
    <x v="7"/>
    <x v="0"/>
    <x v="3"/>
  </r>
  <r>
    <s v="ACX146"/>
    <s v="Md. Alamin"/>
    <x v="2"/>
    <x v="0"/>
    <x v="2"/>
    <x v="1"/>
    <d v="2024-06-09T00:00:00"/>
    <d v="2023-12-12T00:00:00"/>
    <x v="0"/>
    <x v="0"/>
    <x v="3"/>
    <s v="Gazipura 27"/>
    <s v="1km -3km"/>
    <x v="0"/>
    <n v="5000"/>
    <x v="0"/>
    <x v="7"/>
    <x v="0"/>
    <x v="3"/>
  </r>
  <r>
    <s v="ACX147"/>
    <s v="Md. Nosib Uddin"/>
    <x v="2"/>
    <x v="0"/>
    <x v="2"/>
    <x v="1"/>
    <d v="2024-06-09T00:00:00"/>
    <d v="2023-12-12T00:00:00"/>
    <x v="0"/>
    <x v="0"/>
    <x v="0"/>
    <s v="Gazipura 27"/>
    <s v="1km -3km"/>
    <x v="0"/>
    <n v="5000"/>
    <x v="0"/>
    <x v="7"/>
    <x v="0"/>
    <x v="3"/>
  </r>
  <r>
    <s v="ACX148"/>
    <s v="Md. Mostafizur Rahman"/>
    <x v="2"/>
    <x v="0"/>
    <x v="2"/>
    <x v="1"/>
    <d v="2024-06-09T00:00:00"/>
    <d v="2023-12-12T00:00:00"/>
    <x v="0"/>
    <x v="0"/>
    <x v="1"/>
    <s v="Gazipura 27"/>
    <s v="1km -3km"/>
    <x v="0"/>
    <n v="5000"/>
    <x v="0"/>
    <x v="7"/>
    <x v="0"/>
    <x v="3"/>
  </r>
  <r>
    <s v="ACX149"/>
    <s v="Md. Habibur Rahman Habib"/>
    <x v="3"/>
    <x v="0"/>
    <x v="2"/>
    <x v="1"/>
    <d v="2024-06-09T00:00:00"/>
    <d v="2023-12-12T00:00:00"/>
    <x v="0"/>
    <x v="0"/>
    <x v="2"/>
    <s v="Gazipura 27"/>
    <s v="1km -3km"/>
    <x v="0"/>
    <n v="5000"/>
    <x v="0"/>
    <x v="7"/>
    <x v="0"/>
    <x v="3"/>
  </r>
  <r>
    <s v="ACX150"/>
    <s v="Asif Khan Jihad"/>
    <x v="0"/>
    <x v="0"/>
    <x v="2"/>
    <x v="1"/>
    <d v="2024-06-09T00:00:00"/>
    <d v="2023-12-12T00:00:00"/>
    <x v="0"/>
    <x v="0"/>
    <x v="2"/>
    <s v="Board Bazar"/>
    <s v="3km-5km"/>
    <x v="0"/>
    <n v="5000"/>
    <x v="0"/>
    <x v="7"/>
    <x v="0"/>
    <x v="3"/>
  </r>
  <r>
    <s v="ACX151"/>
    <s v="Md. Rasel Mia"/>
    <x v="5"/>
    <x v="0"/>
    <x v="2"/>
    <x v="1"/>
    <d v="2024-06-09T00:00:00"/>
    <d v="2023-12-12T00:00:00"/>
    <x v="0"/>
    <x v="0"/>
    <x v="1"/>
    <s v="Boro Bari"/>
    <s v="3km-5km"/>
    <x v="0"/>
    <n v="5000"/>
    <x v="0"/>
    <x v="7"/>
    <x v="0"/>
    <x v="3"/>
  </r>
  <r>
    <s v="ACX152"/>
    <s v="Apu Kumar Shaha"/>
    <x v="5"/>
    <x v="0"/>
    <x v="2"/>
    <x v="1"/>
    <d v="2024-06-09T00:00:00"/>
    <d v="2023-12-12T00:00:00"/>
    <x v="0"/>
    <x v="0"/>
    <x v="0"/>
    <s v="Gazipura 27"/>
    <s v="1km -3km"/>
    <x v="0"/>
    <n v="5000"/>
    <x v="0"/>
    <x v="7"/>
    <x v="0"/>
    <x v="3"/>
  </r>
  <r>
    <s v="ACX153"/>
    <s v="Ashraful Islam"/>
    <x v="5"/>
    <x v="0"/>
    <x v="2"/>
    <x v="1"/>
    <d v="2024-06-09T00:00:00"/>
    <d v="2023-12-12T00:00:00"/>
    <x v="0"/>
    <x v="0"/>
    <x v="2"/>
    <s v="Gazipura 27"/>
    <s v="1km -3km"/>
    <x v="0"/>
    <n v="5000"/>
    <x v="0"/>
    <x v="7"/>
    <x v="0"/>
    <x v="3"/>
  </r>
  <r>
    <s v="ACX154"/>
    <s v="Md. Abdul Matin"/>
    <x v="5"/>
    <x v="7"/>
    <x v="2"/>
    <x v="1"/>
    <d v="2024-06-09T00:00:00"/>
    <d v="2023-12-12T00:00:00"/>
    <x v="0"/>
    <x v="0"/>
    <x v="1"/>
    <s v="Gazipura 27"/>
    <s v="1km -3km"/>
    <x v="0"/>
    <n v="5000"/>
    <x v="1"/>
    <x v="7"/>
    <x v="0"/>
    <x v="3"/>
  </r>
  <r>
    <s v="ACX155"/>
    <s v="Samia Akter"/>
    <x v="3"/>
    <x v="0"/>
    <x v="2"/>
    <x v="1"/>
    <d v="2024-06-09T00:00:00"/>
    <d v="2023-12-12T00:00:00"/>
    <x v="1"/>
    <x v="0"/>
    <x v="1"/>
    <s v="Board Bazar"/>
    <s v="3km-5km"/>
    <x v="0"/>
    <n v="5000"/>
    <x v="0"/>
    <x v="7"/>
    <x v="0"/>
    <x v="3"/>
  </r>
  <r>
    <s v="ACX156"/>
    <s v="Md. Jahid Hossain Mamun"/>
    <x v="3"/>
    <x v="0"/>
    <x v="2"/>
    <x v="1"/>
    <d v="2024-06-09T00:00:00"/>
    <d v="2023-12-12T00:00:00"/>
    <x v="0"/>
    <x v="1"/>
    <x v="3"/>
    <s v="Board Bazar"/>
    <s v="3km-5km"/>
    <x v="0"/>
    <n v="5000"/>
    <x v="0"/>
    <x v="7"/>
    <x v="0"/>
    <x v="3"/>
  </r>
  <r>
    <s v="ACX157"/>
    <s v="Elias Hossain"/>
    <x v="2"/>
    <x v="0"/>
    <x v="2"/>
    <x v="1"/>
    <d v="2024-06-09T00:00:00"/>
    <d v="2023-12-12T00:00:00"/>
    <x v="0"/>
    <x v="1"/>
    <x v="0"/>
    <s v="Gazipura 27"/>
    <s v="1km -3km"/>
    <x v="0"/>
    <n v="5000"/>
    <x v="0"/>
    <x v="7"/>
    <x v="0"/>
    <x v="3"/>
  </r>
  <r>
    <s v="ACX158"/>
    <s v="Md. Shohan Mia"/>
    <x v="2"/>
    <x v="0"/>
    <x v="2"/>
    <x v="1"/>
    <d v="2024-06-09T00:00:00"/>
    <d v="2023-12-12T00:00:00"/>
    <x v="0"/>
    <x v="0"/>
    <x v="0"/>
    <s v="Gazipura 27"/>
    <s v="1km -3km"/>
    <x v="0"/>
    <n v="5000"/>
    <x v="0"/>
    <x v="7"/>
    <x v="0"/>
    <x v="3"/>
  </r>
  <r>
    <s v="ACX159"/>
    <s v="Md. Shahariyer Hasan Fahim Khondoker"/>
    <x v="2"/>
    <x v="0"/>
    <x v="2"/>
    <x v="1"/>
    <d v="2024-06-09T00:00:00"/>
    <d v="2023-12-12T00:00:00"/>
    <x v="0"/>
    <x v="0"/>
    <x v="1"/>
    <s v="Gazipur Chowrasta"/>
    <s v="5-10km"/>
    <x v="0"/>
    <n v="5000"/>
    <x v="0"/>
    <x v="7"/>
    <x v="0"/>
    <x v="3"/>
  </r>
  <r>
    <s v="ACX160"/>
    <s v="Abu Hanif Sarker"/>
    <x v="3"/>
    <x v="0"/>
    <x v="2"/>
    <x v="1"/>
    <d v="2024-06-10T00:00:00"/>
    <d v="2023-12-13T00:00:00"/>
    <x v="0"/>
    <x v="0"/>
    <x v="0"/>
    <s v="Gazipur Chowrasta"/>
    <s v="5-10km"/>
    <x v="0"/>
    <n v="5000"/>
    <x v="0"/>
    <x v="7"/>
    <x v="0"/>
    <x v="3"/>
  </r>
  <r>
    <s v="ACX161"/>
    <s v="Monirul Islam"/>
    <x v="2"/>
    <x v="0"/>
    <x v="2"/>
    <x v="1"/>
    <d v="2024-06-10T00:00:00"/>
    <d v="2023-12-13T00:00:00"/>
    <x v="0"/>
    <x v="0"/>
    <x v="0"/>
    <s v="Gazipura 27"/>
    <s v="1km -3km"/>
    <x v="0"/>
    <n v="5000"/>
    <x v="0"/>
    <x v="7"/>
    <x v="0"/>
    <x v="3"/>
  </r>
  <r>
    <s v="ACX162"/>
    <s v="Nadim Hossain"/>
    <x v="0"/>
    <x v="0"/>
    <x v="2"/>
    <x v="1"/>
    <d v="2024-06-10T00:00:00"/>
    <d v="2023-12-13T00:00:00"/>
    <x v="0"/>
    <x v="0"/>
    <x v="0"/>
    <s v="Gacha"/>
    <s v="3km-5km"/>
    <x v="0"/>
    <n v="5000"/>
    <x v="0"/>
    <x v="7"/>
    <x v="0"/>
    <x v="3"/>
  </r>
  <r>
    <s v="ACX163"/>
    <s v="Tarikul Islam"/>
    <x v="0"/>
    <x v="0"/>
    <x v="2"/>
    <x v="1"/>
    <d v="2024-06-10T00:00:00"/>
    <d v="2023-12-13T00:00:00"/>
    <x v="0"/>
    <x v="0"/>
    <x v="2"/>
    <s v="Bason"/>
    <s v="5km-10km"/>
    <x v="0"/>
    <n v="5000"/>
    <x v="0"/>
    <x v="7"/>
    <x v="0"/>
    <x v="3"/>
  </r>
  <r>
    <s v="ACX164"/>
    <s v="Ismail Jofiullah"/>
    <x v="0"/>
    <x v="0"/>
    <x v="2"/>
    <x v="1"/>
    <d v="2024-06-10T00:00:00"/>
    <d v="2023-12-13T00:00:00"/>
    <x v="0"/>
    <x v="0"/>
    <x v="5"/>
    <s v="Gazipura 27"/>
    <s v="1km -3km"/>
    <x v="0"/>
    <n v="5000"/>
    <x v="0"/>
    <x v="7"/>
    <x v="0"/>
    <x v="3"/>
  </r>
  <r>
    <s v="ACX165"/>
    <s v="Md. Shahparan Hossen"/>
    <x v="2"/>
    <x v="0"/>
    <x v="2"/>
    <x v="1"/>
    <d v="2024-06-10T00:00:00"/>
    <d v="2023-12-13T00:00:00"/>
    <x v="0"/>
    <x v="1"/>
    <x v="7"/>
    <s v="Gazipura 27"/>
    <s v="1km -3km"/>
    <x v="0"/>
    <n v="5000"/>
    <x v="0"/>
    <x v="7"/>
    <x v="0"/>
    <x v="3"/>
  </r>
  <r>
    <s v="ACX166"/>
    <s v="Khadiza Khatun"/>
    <x v="2"/>
    <x v="0"/>
    <x v="2"/>
    <x v="1"/>
    <d v="2024-06-10T00:00:00"/>
    <d v="2023-12-13T00:00:00"/>
    <x v="1"/>
    <x v="1"/>
    <x v="6"/>
    <s v="Gazipura 27"/>
    <s v="1km -3km"/>
    <x v="0"/>
    <n v="5000"/>
    <x v="0"/>
    <x v="7"/>
    <x v="0"/>
    <x v="3"/>
  </r>
  <r>
    <s v="ACX167"/>
    <s v="Sultana Razia"/>
    <x v="0"/>
    <x v="0"/>
    <x v="2"/>
    <x v="1"/>
    <d v="2024-06-10T00:00:00"/>
    <d v="2023-12-13T00:00:00"/>
    <x v="1"/>
    <x v="0"/>
    <x v="1"/>
    <s v="Gacha"/>
    <s v="3km-5km"/>
    <x v="0"/>
    <n v="5000"/>
    <x v="0"/>
    <x v="7"/>
    <x v="0"/>
    <x v="3"/>
  </r>
  <r>
    <s v="ACX168"/>
    <s v="Kamrun Nahar Dipti"/>
    <x v="0"/>
    <x v="0"/>
    <x v="2"/>
    <x v="1"/>
    <d v="2024-06-10T00:00:00"/>
    <d v="2023-12-13T00:00:00"/>
    <x v="1"/>
    <x v="0"/>
    <x v="1"/>
    <s v="Board Bazar"/>
    <s v="3km-5km"/>
    <x v="0"/>
    <n v="5000"/>
    <x v="0"/>
    <x v="7"/>
    <x v="0"/>
    <x v="3"/>
  </r>
  <r>
    <s v="ACX169"/>
    <s v="Jafrina Alam Jannat"/>
    <x v="3"/>
    <x v="0"/>
    <x v="2"/>
    <x v="1"/>
    <d v="2024-06-10T00:00:00"/>
    <d v="2023-12-13T00:00:00"/>
    <x v="1"/>
    <x v="0"/>
    <x v="2"/>
    <s v="Ershad Nagar"/>
    <s v="1km -3km"/>
    <x v="0"/>
    <n v="5000"/>
    <x v="0"/>
    <x v="7"/>
    <x v="0"/>
    <x v="3"/>
  </r>
  <r>
    <s v="ACX170"/>
    <s v="Tania Akter"/>
    <x v="2"/>
    <x v="0"/>
    <x v="2"/>
    <x v="1"/>
    <d v="2024-06-10T00:00:00"/>
    <d v="2023-12-13T00:00:00"/>
    <x v="1"/>
    <x v="0"/>
    <x v="2"/>
    <s v="Board Bazar"/>
    <s v="3km-5km"/>
    <x v="0"/>
    <n v="5000"/>
    <x v="0"/>
    <x v="7"/>
    <x v="0"/>
    <x v="3"/>
  </r>
  <r>
    <s v="ACX171"/>
    <s v="Razia"/>
    <x v="2"/>
    <x v="0"/>
    <x v="2"/>
    <x v="1"/>
    <d v="2024-06-10T00:00:00"/>
    <d v="2023-12-13T00:00:00"/>
    <x v="1"/>
    <x v="0"/>
    <x v="2"/>
    <s v="Ershad Nagar"/>
    <s v="1km -3km"/>
    <x v="0"/>
    <n v="5000"/>
    <x v="0"/>
    <x v="7"/>
    <x v="0"/>
    <x v="3"/>
  </r>
  <r>
    <s v="ACX172"/>
    <s v="Shamir Das"/>
    <x v="5"/>
    <x v="0"/>
    <x v="2"/>
    <x v="1"/>
    <d v="2024-06-10T00:00:00"/>
    <d v="2023-12-13T00:00:00"/>
    <x v="0"/>
    <x v="0"/>
    <x v="2"/>
    <s v="Gazipura 27"/>
    <s v="1km -3km"/>
    <x v="0"/>
    <n v="5000"/>
    <x v="0"/>
    <x v="7"/>
    <x v="0"/>
    <x v="3"/>
  </r>
  <r>
    <s v="ACX173"/>
    <s v="Nurul Islam"/>
    <x v="0"/>
    <x v="0"/>
    <x v="2"/>
    <x v="1"/>
    <d v="2024-06-10T00:00:00"/>
    <d v="2023-12-13T00:00:00"/>
    <x v="0"/>
    <x v="0"/>
    <x v="1"/>
    <s v="Board Bazar"/>
    <s v="3km-5km"/>
    <x v="0"/>
    <n v="5000"/>
    <x v="0"/>
    <x v="7"/>
    <x v="0"/>
    <x v="3"/>
  </r>
  <r>
    <s v="ACX174"/>
    <s v="Murshida Khatun"/>
    <x v="2"/>
    <x v="0"/>
    <x v="2"/>
    <x v="1"/>
    <d v="2024-06-10T00:00:00"/>
    <d v="2023-12-13T00:00:00"/>
    <x v="1"/>
    <x v="1"/>
    <x v="0"/>
    <s v="Gazipura 27"/>
    <s v="1km -3km"/>
    <x v="0"/>
    <n v="5000"/>
    <x v="0"/>
    <x v="7"/>
    <x v="0"/>
    <x v="3"/>
  </r>
  <r>
    <s v="ACX175"/>
    <s v="Nilufa Akter Lily"/>
    <x v="2"/>
    <x v="0"/>
    <x v="2"/>
    <x v="1"/>
    <d v="2024-06-10T00:00:00"/>
    <d v="2023-12-13T00:00:00"/>
    <x v="1"/>
    <x v="0"/>
    <x v="0"/>
    <s v="Hossen Market"/>
    <s v="1km -3km"/>
    <x v="0"/>
    <n v="5000"/>
    <x v="0"/>
    <x v="7"/>
    <x v="0"/>
    <x v="3"/>
  </r>
  <r>
    <s v="ACX176"/>
    <s v="Modina Chowdhury"/>
    <x v="3"/>
    <x v="0"/>
    <x v="2"/>
    <x v="1"/>
    <d v="2024-06-11T00:00:00"/>
    <d v="2023-12-14T00:00:00"/>
    <x v="1"/>
    <x v="1"/>
    <x v="5"/>
    <s v="Vogra Baypass"/>
    <s v="5-10km"/>
    <x v="0"/>
    <n v="5000"/>
    <x v="0"/>
    <x v="7"/>
    <x v="0"/>
    <x v="3"/>
  </r>
  <r>
    <s v="ACX177"/>
    <s v="Md. Ali Al Nur Mahi"/>
    <x v="3"/>
    <x v="0"/>
    <x v="2"/>
    <x v="1"/>
    <d v="2024-06-11T00:00:00"/>
    <d v="2023-12-14T00:00:00"/>
    <x v="0"/>
    <x v="0"/>
    <x v="0"/>
    <s v="Board Bazar"/>
    <s v="3km-5km"/>
    <x v="0"/>
    <n v="5000"/>
    <x v="0"/>
    <x v="7"/>
    <x v="0"/>
    <x v="3"/>
  </r>
  <r>
    <s v="ACX178"/>
    <s v="Md. Mehedi Hassan"/>
    <x v="0"/>
    <x v="0"/>
    <x v="2"/>
    <x v="1"/>
    <d v="2024-06-11T00:00:00"/>
    <d v="2023-12-14T00:00:00"/>
    <x v="0"/>
    <x v="0"/>
    <x v="0"/>
    <s v="Ershad Nagar"/>
    <s v="1km -3km"/>
    <x v="0"/>
    <n v="5000"/>
    <x v="0"/>
    <x v="7"/>
    <x v="0"/>
    <x v="3"/>
  </r>
  <r>
    <s v="ACX179"/>
    <s v="Hasnat Shah Emon"/>
    <x v="0"/>
    <x v="0"/>
    <x v="2"/>
    <x v="1"/>
    <d v="2024-06-11T00:00:00"/>
    <d v="2023-12-14T00:00:00"/>
    <x v="0"/>
    <x v="0"/>
    <x v="1"/>
    <s v="Gazipura 27"/>
    <s v="1km -3km"/>
    <x v="0"/>
    <n v="5000"/>
    <x v="0"/>
    <x v="7"/>
    <x v="0"/>
    <x v="3"/>
  </r>
  <r>
    <s v="ACX180"/>
    <s v="Al Amin"/>
    <x v="2"/>
    <x v="6"/>
    <x v="2"/>
    <x v="1"/>
    <d v="2024-06-11T00:00:00"/>
    <d v="2023-12-14T00:00:00"/>
    <x v="0"/>
    <x v="0"/>
    <x v="1"/>
    <s v="Gazipura 27"/>
    <s v="1km -3km"/>
    <x v="0"/>
    <n v="5000"/>
    <x v="1"/>
    <x v="7"/>
    <x v="0"/>
    <x v="3"/>
  </r>
  <r>
    <s v="ACX181"/>
    <s v="Md. Borhan Miah"/>
    <x v="2"/>
    <x v="0"/>
    <x v="2"/>
    <x v="1"/>
    <d v="2024-06-11T00:00:00"/>
    <d v="2023-12-14T00:00:00"/>
    <x v="0"/>
    <x v="0"/>
    <x v="0"/>
    <s v="Gazipura 27"/>
    <s v="1km -3km"/>
    <x v="0"/>
    <n v="5000"/>
    <x v="0"/>
    <x v="7"/>
    <x v="0"/>
    <x v="3"/>
  </r>
  <r>
    <s v="ACX182"/>
    <s v="Rasidul Islam"/>
    <x v="5"/>
    <x v="2"/>
    <x v="1"/>
    <x v="1"/>
    <d v="2024-06-14T00:00:00"/>
    <d v="2023-12-17T00:00:00"/>
    <x v="0"/>
    <x v="1"/>
    <x v="1"/>
    <s v="Gazipura 27"/>
    <s v="1km -3km"/>
    <x v="0"/>
    <n v="5000"/>
    <x v="1"/>
    <x v="7"/>
    <x v="0"/>
    <x v="3"/>
  </r>
  <r>
    <s v="ACX183"/>
    <s v="Most. Tania Sultana"/>
    <x v="2"/>
    <x v="0"/>
    <x v="2"/>
    <x v="1"/>
    <d v="2024-06-14T00:00:00"/>
    <d v="2023-12-17T00:00:00"/>
    <x v="1"/>
    <x v="0"/>
    <x v="1"/>
    <s v="Gazipura 27"/>
    <s v="1km -3km"/>
    <x v="0"/>
    <n v="5000"/>
    <x v="0"/>
    <x v="7"/>
    <x v="0"/>
    <x v="3"/>
  </r>
  <r>
    <s v="ACX184"/>
    <s v="Khadiza Akter"/>
    <x v="3"/>
    <x v="0"/>
    <x v="2"/>
    <x v="1"/>
    <d v="2024-06-14T00:00:00"/>
    <d v="2023-12-17T00:00:00"/>
    <x v="1"/>
    <x v="0"/>
    <x v="1"/>
    <s v="Gazipura 27"/>
    <s v="1km -3km"/>
    <x v="0"/>
    <n v="5000"/>
    <x v="0"/>
    <x v="7"/>
    <x v="0"/>
    <x v="3"/>
  </r>
  <r>
    <s v="ACX185"/>
    <s v="Amina Akter"/>
    <x v="2"/>
    <x v="0"/>
    <x v="2"/>
    <x v="1"/>
    <d v="2024-06-14T00:00:00"/>
    <d v="2023-12-17T00:00:00"/>
    <x v="1"/>
    <x v="0"/>
    <x v="1"/>
    <s v="Gazipura 27"/>
    <s v="1km -3km"/>
    <x v="0"/>
    <n v="5000"/>
    <x v="0"/>
    <x v="7"/>
    <x v="0"/>
    <x v="3"/>
  </r>
  <r>
    <s v="ACX186"/>
    <s v="Md. Nazmul Hossain"/>
    <x v="3"/>
    <x v="0"/>
    <x v="2"/>
    <x v="1"/>
    <d v="2024-06-14T00:00:00"/>
    <d v="2023-12-17T00:00:00"/>
    <x v="0"/>
    <x v="0"/>
    <x v="2"/>
    <s v="Ershad Nagar"/>
    <s v="1km -3km"/>
    <x v="0"/>
    <n v="5000"/>
    <x v="0"/>
    <x v="7"/>
    <x v="0"/>
    <x v="3"/>
  </r>
  <r>
    <s v="ACX187"/>
    <s v="Sagar Raha"/>
    <x v="3"/>
    <x v="7"/>
    <x v="2"/>
    <x v="1"/>
    <d v="2024-06-14T00:00:00"/>
    <d v="2023-12-17T00:00:00"/>
    <x v="0"/>
    <x v="0"/>
    <x v="2"/>
    <s v="Gazipur Chowrasta"/>
    <s v="5-10km"/>
    <x v="0"/>
    <n v="5000"/>
    <x v="1"/>
    <x v="7"/>
    <x v="0"/>
    <x v="3"/>
  </r>
  <r>
    <s v="ACX188"/>
    <s v="Md. Shamim Hossain"/>
    <x v="0"/>
    <x v="0"/>
    <x v="2"/>
    <x v="1"/>
    <d v="2024-06-14T00:00:00"/>
    <d v="2023-12-17T00:00:00"/>
    <x v="0"/>
    <x v="0"/>
    <x v="0"/>
    <s v="Gazipura 27"/>
    <s v="1km -3km"/>
    <x v="0"/>
    <n v="5000"/>
    <x v="0"/>
    <x v="7"/>
    <x v="0"/>
    <x v="3"/>
  </r>
  <r>
    <s v="ACX189"/>
    <s v="Md. Rofiqul Islam Khan"/>
    <x v="0"/>
    <x v="0"/>
    <x v="2"/>
    <x v="1"/>
    <d v="2024-06-14T00:00:00"/>
    <d v="2023-12-17T00:00:00"/>
    <x v="0"/>
    <x v="0"/>
    <x v="0"/>
    <s v="Board Bazar"/>
    <s v="3km-5km"/>
    <x v="0"/>
    <n v="5000"/>
    <x v="0"/>
    <x v="7"/>
    <x v="0"/>
    <x v="3"/>
  </r>
  <r>
    <s v="ACX190"/>
    <s v="Sifat Ullah Chowdury"/>
    <x v="2"/>
    <x v="0"/>
    <x v="2"/>
    <x v="1"/>
    <d v="2024-06-14T00:00:00"/>
    <d v="2023-12-17T00:00:00"/>
    <x v="0"/>
    <x v="0"/>
    <x v="2"/>
    <s v="Gazipura 27"/>
    <s v="1km -3km"/>
    <x v="0"/>
    <n v="5000"/>
    <x v="0"/>
    <x v="7"/>
    <x v="0"/>
    <x v="3"/>
  </r>
  <r>
    <s v="ACX191"/>
    <s v="Mamun Mia"/>
    <x v="2"/>
    <x v="0"/>
    <x v="2"/>
    <x v="1"/>
    <d v="2024-06-14T00:00:00"/>
    <d v="2023-12-17T00:00:00"/>
    <x v="0"/>
    <x v="0"/>
    <x v="2"/>
    <s v="Gazipura 27"/>
    <s v="1km -3km"/>
    <x v="0"/>
    <n v="5000"/>
    <x v="0"/>
    <x v="7"/>
    <x v="0"/>
    <x v="3"/>
  </r>
  <r>
    <s v="ACX192"/>
    <s v="Md. Rasel Sikdar"/>
    <x v="5"/>
    <x v="7"/>
    <x v="2"/>
    <x v="1"/>
    <d v="2024-06-14T00:00:00"/>
    <d v="2023-12-17T00:00:00"/>
    <x v="0"/>
    <x v="0"/>
    <x v="1"/>
    <s v="Gazipura 27"/>
    <s v="1km -3km"/>
    <x v="0"/>
    <n v="5000"/>
    <x v="1"/>
    <x v="7"/>
    <x v="0"/>
    <x v="3"/>
  </r>
  <r>
    <s v="ACX193"/>
    <s v="Gulshan Negar Khan Tumpa"/>
    <x v="2"/>
    <x v="0"/>
    <x v="2"/>
    <x v="1"/>
    <d v="2024-06-14T00:00:00"/>
    <d v="2023-12-17T00:00:00"/>
    <x v="1"/>
    <x v="0"/>
    <x v="2"/>
    <s v="Board Bazar"/>
    <s v="3km-5km"/>
    <x v="0"/>
    <n v="5000"/>
    <x v="0"/>
    <x v="7"/>
    <x v="0"/>
    <x v="3"/>
  </r>
  <r>
    <s v="ACX194"/>
    <s v="Aysha Akter"/>
    <x v="3"/>
    <x v="0"/>
    <x v="2"/>
    <x v="1"/>
    <d v="2024-06-14T00:00:00"/>
    <d v="2023-12-17T00:00:00"/>
    <x v="1"/>
    <x v="0"/>
    <x v="0"/>
    <s v="Gazipur Chowrasta"/>
    <s v="5-10km"/>
    <x v="0"/>
    <n v="5000"/>
    <x v="0"/>
    <x v="7"/>
    <x v="0"/>
    <x v="3"/>
  </r>
  <r>
    <s v="ACX195"/>
    <s v="Mosammad Shamsunnahar"/>
    <x v="2"/>
    <x v="0"/>
    <x v="2"/>
    <x v="1"/>
    <d v="2024-06-14T00:00:00"/>
    <d v="2023-12-17T00:00:00"/>
    <x v="1"/>
    <x v="0"/>
    <x v="1"/>
    <s v="Board Bazar"/>
    <s v="3km-5km"/>
    <x v="0"/>
    <n v="5000"/>
    <x v="0"/>
    <x v="7"/>
    <x v="0"/>
    <x v="3"/>
  </r>
  <r>
    <s v="ACX196"/>
    <s v="Jannatul Ferdusy Keya"/>
    <x v="2"/>
    <x v="0"/>
    <x v="2"/>
    <x v="1"/>
    <d v="2024-06-14T00:00:00"/>
    <d v="2023-12-17T00:00:00"/>
    <x v="1"/>
    <x v="0"/>
    <x v="0"/>
    <s v="Gazipura 27"/>
    <s v="1km -3km"/>
    <x v="0"/>
    <n v="5000"/>
    <x v="0"/>
    <x v="7"/>
    <x v="0"/>
    <x v="3"/>
  </r>
  <r>
    <s v="ACX197"/>
    <s v="Fatama Akter Mitu"/>
    <x v="2"/>
    <x v="0"/>
    <x v="2"/>
    <x v="1"/>
    <d v="2024-06-14T00:00:00"/>
    <d v="2023-12-17T00:00:00"/>
    <x v="1"/>
    <x v="0"/>
    <x v="1"/>
    <s v="Gazipura 27"/>
    <s v="1km -3km"/>
    <x v="0"/>
    <n v="5000"/>
    <x v="0"/>
    <x v="7"/>
    <x v="0"/>
    <x v="3"/>
  </r>
  <r>
    <s v="ACX198"/>
    <s v="Mst. Rupali Akter"/>
    <x v="0"/>
    <x v="0"/>
    <x v="2"/>
    <x v="1"/>
    <d v="2024-06-14T00:00:00"/>
    <d v="2023-12-17T00:00:00"/>
    <x v="1"/>
    <x v="0"/>
    <x v="0"/>
    <s v="Board Bazar"/>
    <s v="3km-5km"/>
    <x v="0"/>
    <n v="5000"/>
    <x v="0"/>
    <x v="7"/>
    <x v="0"/>
    <x v="3"/>
  </r>
  <r>
    <s v="ACX199"/>
    <s v="Monira Akter"/>
    <x v="3"/>
    <x v="0"/>
    <x v="2"/>
    <x v="1"/>
    <d v="2024-06-14T00:00:00"/>
    <d v="2023-12-17T00:00:00"/>
    <x v="1"/>
    <x v="0"/>
    <x v="0"/>
    <s v="Board Bazar"/>
    <s v="3km-5km"/>
    <x v="0"/>
    <n v="5000"/>
    <x v="0"/>
    <x v="7"/>
    <x v="0"/>
    <x v="3"/>
  </r>
  <r>
    <s v="ACX200"/>
    <s v="Shawon Kabir Hira"/>
    <x v="3"/>
    <x v="0"/>
    <x v="2"/>
    <x v="1"/>
    <d v="2024-06-14T00:00:00"/>
    <d v="2023-12-17T00:00:00"/>
    <x v="0"/>
    <x v="0"/>
    <x v="5"/>
    <s v="Ershad Nagar"/>
    <s v="1km -3km"/>
    <x v="0"/>
    <n v="5000"/>
    <x v="0"/>
    <x v="7"/>
    <x v="0"/>
    <x v="3"/>
  </r>
  <r>
    <s v="ACX201"/>
    <s v="Md. Raihanul Haque"/>
    <x v="2"/>
    <x v="0"/>
    <x v="2"/>
    <x v="1"/>
    <d v="2024-06-14T00:00:00"/>
    <d v="2023-12-17T00:00:00"/>
    <x v="0"/>
    <x v="0"/>
    <x v="2"/>
    <s v="Board Bazar"/>
    <s v="3km-5km"/>
    <x v="0"/>
    <n v="5000"/>
    <x v="0"/>
    <x v="7"/>
    <x v="0"/>
    <x v="3"/>
  </r>
  <r>
    <s v="ACX202"/>
    <s v="Swapna Akter Runa"/>
    <x v="5"/>
    <x v="0"/>
    <x v="2"/>
    <x v="1"/>
    <d v="2024-06-14T00:00:00"/>
    <d v="2023-12-17T00:00:00"/>
    <x v="1"/>
    <x v="0"/>
    <x v="3"/>
    <s v="Vogra Baypass"/>
    <s v="5-10km"/>
    <x v="0"/>
    <n v="5000"/>
    <x v="0"/>
    <x v="7"/>
    <x v="0"/>
    <x v="3"/>
  </r>
  <r>
    <s v="ACX203"/>
    <s v="Mst. Liza Moni"/>
    <x v="2"/>
    <x v="0"/>
    <x v="2"/>
    <x v="1"/>
    <d v="2024-06-14T00:00:00"/>
    <d v="2023-12-17T00:00:00"/>
    <x v="1"/>
    <x v="0"/>
    <x v="2"/>
    <s v="Board Bazar"/>
    <s v="3km-5km"/>
    <x v="0"/>
    <n v="5000"/>
    <x v="0"/>
    <x v="7"/>
    <x v="0"/>
    <x v="3"/>
  </r>
  <r>
    <s v="ACX204"/>
    <s v="Sathia Akter"/>
    <x v="3"/>
    <x v="0"/>
    <x v="2"/>
    <x v="1"/>
    <d v="2024-06-14T00:00:00"/>
    <d v="2023-12-17T00:00:00"/>
    <x v="1"/>
    <x v="0"/>
    <x v="1"/>
    <s v="Gazipura 27"/>
    <s v="1km -3km"/>
    <x v="0"/>
    <n v="5000"/>
    <x v="0"/>
    <x v="7"/>
    <x v="0"/>
    <x v="3"/>
  </r>
  <r>
    <s v="ACX205"/>
    <s v="Sumaya Shemu"/>
    <x v="3"/>
    <x v="0"/>
    <x v="2"/>
    <x v="1"/>
    <d v="2024-06-14T00:00:00"/>
    <d v="2023-12-17T00:00:00"/>
    <x v="1"/>
    <x v="1"/>
    <x v="1"/>
    <s v="Gazipura 27"/>
    <s v="1km -3km"/>
    <x v="0"/>
    <n v="5000"/>
    <x v="0"/>
    <x v="7"/>
    <x v="0"/>
    <x v="3"/>
  </r>
  <r>
    <s v="ACX206"/>
    <s v="Aktarina Khatun"/>
    <x v="3"/>
    <x v="0"/>
    <x v="2"/>
    <x v="1"/>
    <d v="2024-06-14T00:00:00"/>
    <d v="2023-12-17T00:00:00"/>
    <x v="1"/>
    <x v="0"/>
    <x v="2"/>
    <s v="Gazipura 27"/>
    <s v="1km -3km"/>
    <x v="0"/>
    <n v="5000"/>
    <x v="0"/>
    <x v="7"/>
    <x v="0"/>
    <x v="3"/>
  </r>
  <r>
    <s v="ACX207"/>
    <s v="Simanto Roy"/>
    <x v="3"/>
    <x v="0"/>
    <x v="2"/>
    <x v="1"/>
    <d v="2024-06-14T00:00:00"/>
    <d v="2023-12-17T00:00:00"/>
    <x v="0"/>
    <x v="0"/>
    <x v="0"/>
    <s v="Gazipura 27"/>
    <s v="1km -3km"/>
    <x v="0"/>
    <n v="5000"/>
    <x v="0"/>
    <x v="7"/>
    <x v="0"/>
    <x v="3"/>
  </r>
  <r>
    <s v="ACX208"/>
    <s v="Atikur Rahman"/>
    <x v="3"/>
    <x v="7"/>
    <x v="2"/>
    <x v="1"/>
    <d v="2024-06-15T00:00:00"/>
    <d v="2023-12-18T00:00:00"/>
    <x v="0"/>
    <x v="0"/>
    <x v="0"/>
    <s v="Gazipura 27"/>
    <s v="1km -3km"/>
    <x v="0"/>
    <n v="5000"/>
    <x v="1"/>
    <x v="7"/>
    <x v="0"/>
    <x v="3"/>
  </r>
  <r>
    <s v="ACX209"/>
    <s v="Tahmina Akter"/>
    <x v="3"/>
    <x v="0"/>
    <x v="2"/>
    <x v="1"/>
    <d v="2024-06-15T00:00:00"/>
    <d v="2023-12-18T00:00:00"/>
    <x v="1"/>
    <x v="0"/>
    <x v="1"/>
    <s v="Gazipura 27"/>
    <s v="1km -3km"/>
    <x v="0"/>
    <n v="5000"/>
    <x v="0"/>
    <x v="7"/>
    <x v="0"/>
    <x v="3"/>
  </r>
  <r>
    <s v="ACX210"/>
    <s v="Tahia Akther Dina"/>
    <x v="2"/>
    <x v="0"/>
    <x v="2"/>
    <x v="1"/>
    <d v="2024-06-15T00:00:00"/>
    <d v="2023-12-18T00:00:00"/>
    <x v="1"/>
    <x v="0"/>
    <x v="0"/>
    <s v="Boro Bari"/>
    <s v="3km-5km"/>
    <x v="0"/>
    <n v="5000"/>
    <x v="0"/>
    <x v="7"/>
    <x v="0"/>
    <x v="3"/>
  </r>
  <r>
    <s v="ACX211"/>
    <s v="Shabnur Akter"/>
    <x v="0"/>
    <x v="0"/>
    <x v="2"/>
    <x v="1"/>
    <d v="2024-06-15T00:00:00"/>
    <d v="2023-12-18T00:00:00"/>
    <x v="1"/>
    <x v="0"/>
    <x v="2"/>
    <s v="Board Bazar"/>
    <s v="3km-5km"/>
    <x v="0"/>
    <n v="5000"/>
    <x v="0"/>
    <x v="7"/>
    <x v="0"/>
    <x v="3"/>
  </r>
  <r>
    <s v="ACX212"/>
    <s v="Prity Rani sarker"/>
    <x v="3"/>
    <x v="0"/>
    <x v="2"/>
    <x v="1"/>
    <d v="2024-06-15T00:00:00"/>
    <d v="2023-12-18T00:00:00"/>
    <x v="1"/>
    <x v="0"/>
    <x v="0"/>
    <s v="Gazipur Sadar"/>
    <s v="10-15km"/>
    <x v="0"/>
    <n v="5000"/>
    <x v="0"/>
    <x v="7"/>
    <x v="0"/>
    <x v="3"/>
  </r>
  <r>
    <s v="ACX213"/>
    <s v="Mursheda"/>
    <x v="2"/>
    <x v="0"/>
    <x v="2"/>
    <x v="1"/>
    <d v="2024-06-15T00:00:00"/>
    <d v="2023-12-18T00:00:00"/>
    <x v="1"/>
    <x v="1"/>
    <x v="1"/>
    <s v="Gazipura 27"/>
    <s v="1km -3km"/>
    <x v="0"/>
    <n v="5000"/>
    <x v="0"/>
    <x v="7"/>
    <x v="0"/>
    <x v="3"/>
  </r>
  <r>
    <s v="ACX214"/>
    <s v="Zakia akter Jui"/>
    <x v="0"/>
    <x v="0"/>
    <x v="2"/>
    <x v="1"/>
    <d v="2024-06-15T00:00:00"/>
    <d v="2023-12-18T00:00:00"/>
    <x v="1"/>
    <x v="0"/>
    <x v="1"/>
    <s v="Gazipura 27"/>
    <s v="1km -3km"/>
    <x v="0"/>
    <n v="5000"/>
    <x v="0"/>
    <x v="7"/>
    <x v="0"/>
    <x v="3"/>
  </r>
  <r>
    <s v="ACX215"/>
    <s v="Sultan Mahmud"/>
    <x v="3"/>
    <x v="0"/>
    <x v="2"/>
    <x v="1"/>
    <d v="2024-06-15T00:00:00"/>
    <d v="2023-12-18T00:00:00"/>
    <x v="0"/>
    <x v="0"/>
    <x v="2"/>
    <s v="Gazipura 27"/>
    <s v="1km -3km"/>
    <x v="0"/>
    <n v="5000"/>
    <x v="0"/>
    <x v="7"/>
    <x v="0"/>
    <x v="3"/>
  </r>
  <r>
    <s v="ACX216"/>
    <s v="Shakil Mia"/>
    <x v="3"/>
    <x v="0"/>
    <x v="2"/>
    <x v="1"/>
    <d v="2024-06-15T00:00:00"/>
    <d v="2023-12-18T00:00:00"/>
    <x v="0"/>
    <x v="1"/>
    <x v="0"/>
    <s v="Gazipura 27"/>
    <s v="1km -3km"/>
    <x v="0"/>
    <n v="5000"/>
    <x v="0"/>
    <x v="7"/>
    <x v="0"/>
    <x v="3"/>
  </r>
  <r>
    <s v="ACX217"/>
    <s v="Md. Chonok Mia"/>
    <x v="2"/>
    <x v="0"/>
    <x v="2"/>
    <x v="1"/>
    <d v="2024-06-15T00:00:00"/>
    <d v="2023-12-18T00:00:00"/>
    <x v="0"/>
    <x v="0"/>
    <x v="2"/>
    <s v="Gazipura 27"/>
    <s v="1km -3km"/>
    <x v="0"/>
    <n v="5000"/>
    <x v="0"/>
    <x v="7"/>
    <x v="0"/>
    <x v="3"/>
  </r>
  <r>
    <s v="ACX218"/>
    <s v="Md. Suhad Un Nabby Sohag"/>
    <x v="3"/>
    <x v="0"/>
    <x v="2"/>
    <x v="1"/>
    <d v="2024-06-15T00:00:00"/>
    <d v="2023-12-18T00:00:00"/>
    <x v="0"/>
    <x v="0"/>
    <x v="2"/>
    <s v="Gazipura 27"/>
    <s v="1km -3km"/>
    <x v="0"/>
    <n v="5000"/>
    <x v="0"/>
    <x v="7"/>
    <x v="0"/>
    <x v="3"/>
  </r>
  <r>
    <s v="ACX219"/>
    <s v="Md. Hridoy Mia"/>
    <x v="0"/>
    <x v="0"/>
    <x v="2"/>
    <x v="1"/>
    <d v="2024-06-15T00:00:00"/>
    <d v="2023-12-18T00:00:00"/>
    <x v="0"/>
    <x v="0"/>
    <x v="1"/>
    <s v="Board Bazar"/>
    <s v="3km-5km"/>
    <x v="0"/>
    <n v="5000"/>
    <x v="0"/>
    <x v="7"/>
    <x v="0"/>
    <x v="3"/>
  </r>
  <r>
    <s v="ACX220"/>
    <s v="Rafiqul Islam Rabbi"/>
    <x v="3"/>
    <x v="0"/>
    <x v="2"/>
    <x v="1"/>
    <d v="2024-06-15T00:00:00"/>
    <d v="2023-12-18T00:00:00"/>
    <x v="0"/>
    <x v="0"/>
    <x v="2"/>
    <s v="Kolambiya"/>
    <s v="5-10km"/>
    <x v="0"/>
    <n v="5000"/>
    <x v="0"/>
    <x v="7"/>
    <x v="0"/>
    <x v="3"/>
  </r>
  <r>
    <s v="ACX221"/>
    <s v="Sumaiya Akter"/>
    <x v="3"/>
    <x v="0"/>
    <x v="2"/>
    <x v="1"/>
    <d v="2024-06-15T00:00:00"/>
    <d v="2023-12-18T00:00:00"/>
    <x v="1"/>
    <x v="0"/>
    <x v="2"/>
    <s v="Ershad Nagar"/>
    <s v="1km -3km"/>
    <x v="0"/>
    <n v="5000"/>
    <x v="0"/>
    <x v="7"/>
    <x v="0"/>
    <x v="3"/>
  </r>
  <r>
    <s v="ACX222"/>
    <s v="Md. Mamunur Rashid Mamun"/>
    <x v="2"/>
    <x v="7"/>
    <x v="2"/>
    <x v="1"/>
    <d v="2024-06-15T00:00:00"/>
    <d v="2023-12-18T00:00:00"/>
    <x v="0"/>
    <x v="0"/>
    <x v="2"/>
    <s v="Gazipura 27"/>
    <s v="1km -3km"/>
    <x v="0"/>
    <n v="5000"/>
    <x v="1"/>
    <x v="7"/>
    <x v="0"/>
    <x v="3"/>
  </r>
  <r>
    <s v="ACX223"/>
    <s v="Md. Monir Uzzaman"/>
    <x v="3"/>
    <x v="0"/>
    <x v="2"/>
    <x v="1"/>
    <d v="2024-06-15T00:00:00"/>
    <d v="2023-12-18T00:00:00"/>
    <x v="0"/>
    <x v="0"/>
    <x v="0"/>
    <s v="Boro Bari"/>
    <s v="3km-5km"/>
    <x v="0"/>
    <n v="5000"/>
    <x v="0"/>
    <x v="7"/>
    <x v="0"/>
    <x v="3"/>
  </r>
  <r>
    <s v="ACX224"/>
    <s v="Mst. Monika Akter"/>
    <x v="3"/>
    <x v="0"/>
    <x v="2"/>
    <x v="1"/>
    <d v="2024-06-15T00:00:00"/>
    <d v="2023-12-18T00:00:00"/>
    <x v="1"/>
    <x v="0"/>
    <x v="0"/>
    <s v="Gacha"/>
    <s v="3km-5km"/>
    <x v="0"/>
    <n v="5000"/>
    <x v="0"/>
    <x v="7"/>
    <x v="0"/>
    <x v="3"/>
  </r>
  <r>
    <s v="ACX225"/>
    <s v="Md. Ali Hamza Sagor"/>
    <x v="0"/>
    <x v="0"/>
    <x v="2"/>
    <x v="1"/>
    <d v="2024-06-16T00:00:00"/>
    <d v="2023-12-19T00:00:00"/>
    <x v="0"/>
    <x v="0"/>
    <x v="0"/>
    <s v="Gacha"/>
    <s v="3km-5km"/>
    <x v="0"/>
    <n v="5000"/>
    <x v="0"/>
    <x v="7"/>
    <x v="0"/>
    <x v="3"/>
  </r>
  <r>
    <s v="ACX226"/>
    <s v="Mehedi Hasan Shahed"/>
    <x v="2"/>
    <x v="0"/>
    <x v="2"/>
    <x v="1"/>
    <d v="2024-06-16T00:00:00"/>
    <d v="2023-12-19T00:00:00"/>
    <x v="0"/>
    <x v="0"/>
    <x v="0"/>
    <s v="Ershad Nagar"/>
    <s v="1km -3km"/>
    <x v="0"/>
    <n v="5000"/>
    <x v="0"/>
    <x v="7"/>
    <x v="0"/>
    <x v="3"/>
  </r>
  <r>
    <s v="ACX227"/>
    <s v="Shajib Ahmed"/>
    <x v="3"/>
    <x v="0"/>
    <x v="2"/>
    <x v="1"/>
    <d v="2024-06-16T00:00:00"/>
    <d v="2023-12-19T00:00:00"/>
    <x v="0"/>
    <x v="0"/>
    <x v="5"/>
    <s v="Gacha"/>
    <s v="3km-5km"/>
    <x v="0"/>
    <n v="5000"/>
    <x v="0"/>
    <x v="7"/>
    <x v="0"/>
    <x v="3"/>
  </r>
  <r>
    <s v="ACX228"/>
    <s v="Md. Parvez"/>
    <x v="2"/>
    <x v="0"/>
    <x v="2"/>
    <x v="1"/>
    <d v="2024-06-16T00:00:00"/>
    <d v="2023-12-19T00:00:00"/>
    <x v="0"/>
    <x v="0"/>
    <x v="1"/>
    <s v="Ershad Nagar"/>
    <s v="1km -3km"/>
    <x v="0"/>
    <n v="5000"/>
    <x v="0"/>
    <x v="7"/>
    <x v="0"/>
    <x v="3"/>
  </r>
  <r>
    <s v="ACX229"/>
    <s v="Mahfuja Benta Mubarak"/>
    <x v="3"/>
    <x v="0"/>
    <x v="2"/>
    <x v="1"/>
    <d v="2024-06-17T00:00:00"/>
    <d v="2023-12-20T00:00:00"/>
    <x v="1"/>
    <x v="0"/>
    <x v="0"/>
    <s v="Board Bazar"/>
    <s v="3km-5km"/>
    <x v="0"/>
    <n v="5000"/>
    <x v="0"/>
    <x v="7"/>
    <x v="0"/>
    <x v="3"/>
  </r>
  <r>
    <s v="ACX230"/>
    <s v="Most. Saima Khanum Doly"/>
    <x v="3"/>
    <x v="0"/>
    <x v="2"/>
    <x v="1"/>
    <d v="2024-06-17T00:00:00"/>
    <d v="2023-12-20T00:00:00"/>
    <x v="1"/>
    <x v="0"/>
    <x v="3"/>
    <s v="Gazipura 27"/>
    <s v="1km -3km"/>
    <x v="0"/>
    <n v="5000"/>
    <x v="0"/>
    <x v="7"/>
    <x v="0"/>
    <x v="3"/>
  </r>
  <r>
    <s v="ACX231"/>
    <s v="Suma Khatun"/>
    <x v="3"/>
    <x v="0"/>
    <x v="2"/>
    <x v="1"/>
    <d v="2024-06-17T00:00:00"/>
    <d v="2023-12-20T00:00:00"/>
    <x v="1"/>
    <x v="0"/>
    <x v="0"/>
    <s v="Gazipura 27"/>
    <s v="1km -3km"/>
    <x v="0"/>
    <n v="5000"/>
    <x v="0"/>
    <x v="7"/>
    <x v="0"/>
    <x v="3"/>
  </r>
  <r>
    <s v="ACX232"/>
    <s v="Md. Alek Sardar"/>
    <x v="5"/>
    <x v="0"/>
    <x v="2"/>
    <x v="1"/>
    <d v="2024-06-17T00:00:00"/>
    <d v="2023-12-20T00:00:00"/>
    <x v="0"/>
    <x v="0"/>
    <x v="0"/>
    <s v="Gazipura 27"/>
    <s v="1km -3km"/>
    <x v="0"/>
    <n v="5000"/>
    <x v="0"/>
    <x v="7"/>
    <x v="0"/>
    <x v="3"/>
  </r>
  <r>
    <s v="ACX233"/>
    <s v="Md. Zawad Bin Mostafa"/>
    <x v="3"/>
    <x v="0"/>
    <x v="2"/>
    <x v="1"/>
    <d v="2024-06-17T00:00:00"/>
    <d v="2023-12-20T00:00:00"/>
    <x v="0"/>
    <x v="0"/>
    <x v="3"/>
    <s v="Gazipur Sadar"/>
    <s v="10-15km"/>
    <x v="0"/>
    <n v="5000"/>
    <x v="0"/>
    <x v="7"/>
    <x v="0"/>
    <x v="3"/>
  </r>
  <r>
    <s v="ACX234"/>
    <s v="Marjana"/>
    <x v="3"/>
    <x v="0"/>
    <x v="2"/>
    <x v="1"/>
    <d v="2024-06-17T00:00:00"/>
    <d v="2023-12-20T00:00:00"/>
    <x v="1"/>
    <x v="1"/>
    <x v="1"/>
    <s v="Gazipura 27"/>
    <s v="1km -3km"/>
    <x v="0"/>
    <n v="5000"/>
    <x v="0"/>
    <x v="7"/>
    <x v="0"/>
    <x v="3"/>
  </r>
  <r>
    <s v="ACX235"/>
    <s v="Mst. Mim"/>
    <x v="3"/>
    <x v="0"/>
    <x v="2"/>
    <x v="1"/>
    <d v="2024-06-17T00:00:00"/>
    <d v="2023-12-20T00:00:00"/>
    <x v="1"/>
    <x v="0"/>
    <x v="1"/>
    <s v="Vogra Baypass"/>
    <s v="5-10km"/>
    <x v="0"/>
    <n v="5000"/>
    <x v="0"/>
    <x v="7"/>
    <x v="0"/>
    <x v="3"/>
  </r>
  <r>
    <s v="ACX236"/>
    <s v="Sumaya Akter Mim"/>
    <x v="3"/>
    <x v="0"/>
    <x v="2"/>
    <x v="1"/>
    <d v="2024-06-17T00:00:00"/>
    <d v="2023-12-20T00:00:00"/>
    <x v="1"/>
    <x v="0"/>
    <x v="1"/>
    <s v="Ershad Nagar"/>
    <s v="1km -3km"/>
    <x v="0"/>
    <n v="5000"/>
    <x v="0"/>
    <x v="7"/>
    <x v="0"/>
    <x v="3"/>
  </r>
  <r>
    <s v="ACX237"/>
    <s v="Taslima Akter"/>
    <x v="3"/>
    <x v="0"/>
    <x v="2"/>
    <x v="1"/>
    <d v="2024-06-17T00:00:00"/>
    <d v="2023-12-20T00:00:00"/>
    <x v="1"/>
    <x v="1"/>
    <x v="8"/>
    <s v="Boro Bari "/>
    <s v="3km-5km"/>
    <x v="0"/>
    <n v="5000"/>
    <x v="0"/>
    <x v="7"/>
    <x v="0"/>
    <x v="3"/>
  </r>
  <r>
    <s v="ACX238"/>
    <s v="Md. Abu Nayim"/>
    <x v="3"/>
    <x v="0"/>
    <x v="2"/>
    <x v="1"/>
    <d v="2024-06-17T00:00:00"/>
    <d v="2023-12-20T00:00:00"/>
    <x v="0"/>
    <x v="0"/>
    <x v="3"/>
    <s v="Board Bazar"/>
    <s v="3km-5km"/>
    <x v="0"/>
    <n v="5000"/>
    <x v="0"/>
    <x v="7"/>
    <x v="0"/>
    <x v="3"/>
  </r>
  <r>
    <s v="ACX239"/>
    <s v="Tithi Biswas"/>
    <x v="2"/>
    <x v="0"/>
    <x v="2"/>
    <x v="1"/>
    <d v="2024-06-17T00:00:00"/>
    <d v="2023-12-20T00:00:00"/>
    <x v="1"/>
    <x v="1"/>
    <x v="3"/>
    <s v="Gazipura 27"/>
    <s v="1km -3km"/>
    <x v="0"/>
    <n v="5000"/>
    <x v="0"/>
    <x v="7"/>
    <x v="0"/>
    <x v="3"/>
  </r>
  <r>
    <s v="ACX240"/>
    <s v="Samapto Bala Uraw"/>
    <x v="3"/>
    <x v="0"/>
    <x v="2"/>
    <x v="1"/>
    <d v="2024-06-17T00:00:00"/>
    <d v="2023-12-20T00:00:00"/>
    <x v="1"/>
    <x v="0"/>
    <x v="3"/>
    <s v="Gazipura 27"/>
    <s v="1km -3km"/>
    <x v="0"/>
    <n v="5000"/>
    <x v="0"/>
    <x v="7"/>
    <x v="0"/>
    <x v="3"/>
  </r>
  <r>
    <s v="ACX241"/>
    <s v="Rita Akter Ety"/>
    <x v="0"/>
    <x v="0"/>
    <x v="2"/>
    <x v="1"/>
    <d v="2024-06-17T00:00:00"/>
    <d v="2023-12-20T00:00:00"/>
    <x v="1"/>
    <x v="0"/>
    <x v="5"/>
    <s v="Ershad Nagar"/>
    <s v="1km -3km"/>
    <x v="0"/>
    <n v="5000"/>
    <x v="0"/>
    <x v="7"/>
    <x v="0"/>
    <x v="3"/>
  </r>
  <r>
    <s v="ACX242"/>
    <s v="Md. Arman Ahmeed"/>
    <x v="3"/>
    <x v="0"/>
    <x v="2"/>
    <x v="1"/>
    <d v="2024-06-17T00:00:00"/>
    <d v="2023-12-20T00:00:00"/>
    <x v="0"/>
    <x v="0"/>
    <x v="0"/>
    <s v="Board Bazar"/>
    <s v="3km-5km"/>
    <x v="0"/>
    <n v="5000"/>
    <x v="0"/>
    <x v="7"/>
    <x v="0"/>
    <x v="3"/>
  </r>
  <r>
    <s v="ACX243"/>
    <s v="G.M Golam Mostafa"/>
    <x v="3"/>
    <x v="0"/>
    <x v="2"/>
    <x v="1"/>
    <d v="2024-06-18T00:00:00"/>
    <d v="2023-12-21T00:00:00"/>
    <x v="0"/>
    <x v="0"/>
    <x v="2"/>
    <s v="Gazipura 27"/>
    <s v="1km -3km"/>
    <x v="0"/>
    <n v="5000"/>
    <x v="0"/>
    <x v="7"/>
    <x v="0"/>
    <x v="3"/>
  </r>
  <r>
    <s v="ACX244"/>
    <s v="Meher Afrin Moli"/>
    <x v="2"/>
    <x v="0"/>
    <x v="2"/>
    <x v="1"/>
    <d v="2024-06-18T00:00:00"/>
    <d v="2023-12-21T00:00:00"/>
    <x v="1"/>
    <x v="0"/>
    <x v="3"/>
    <s v="Board Bazar"/>
    <s v="3km-5km"/>
    <x v="0"/>
    <n v="5000"/>
    <x v="0"/>
    <x v="7"/>
    <x v="0"/>
    <x v="3"/>
  </r>
  <r>
    <s v="ACX245"/>
    <s v="Khadija islam Mou"/>
    <x v="3"/>
    <x v="0"/>
    <x v="2"/>
    <x v="1"/>
    <d v="2024-06-18T00:00:00"/>
    <d v="2023-12-21T00:00:00"/>
    <x v="1"/>
    <x v="0"/>
    <x v="2"/>
    <s v="Board Bazar"/>
    <s v="3km-5km"/>
    <x v="0"/>
    <n v="5000"/>
    <x v="0"/>
    <x v="7"/>
    <x v="0"/>
    <x v="3"/>
  </r>
  <r>
    <s v="ACX246"/>
    <s v="Md. Rakibul Hasan"/>
    <x v="3"/>
    <x v="0"/>
    <x v="2"/>
    <x v="1"/>
    <d v="2024-06-18T00:00:00"/>
    <d v="2023-12-21T00:00:00"/>
    <x v="0"/>
    <x v="0"/>
    <x v="0"/>
    <s v="Uttara"/>
    <s v="5-10km"/>
    <x v="0"/>
    <n v="5000"/>
    <x v="0"/>
    <x v="7"/>
    <x v="0"/>
    <x v="3"/>
  </r>
  <r>
    <s v="ACX247"/>
    <s v="Afroja Akter Kona"/>
    <x v="0"/>
    <x v="0"/>
    <x v="2"/>
    <x v="1"/>
    <d v="2024-06-18T00:00:00"/>
    <d v="2023-12-21T00:00:00"/>
    <x v="1"/>
    <x v="0"/>
    <x v="1"/>
    <s v="Ershad Nagar"/>
    <s v="1km -3km"/>
    <x v="0"/>
    <n v="5000"/>
    <x v="0"/>
    <x v="7"/>
    <x v="0"/>
    <x v="3"/>
  </r>
  <r>
    <s v="ACX248"/>
    <s v="Moriam Akter"/>
    <x v="2"/>
    <x v="0"/>
    <x v="2"/>
    <x v="1"/>
    <d v="2024-06-18T00:00:00"/>
    <d v="2023-12-21T00:00:00"/>
    <x v="1"/>
    <x v="0"/>
    <x v="0"/>
    <s v="Sign board"/>
    <s v="3km-5km"/>
    <x v="0"/>
    <n v="5000"/>
    <x v="0"/>
    <x v="7"/>
    <x v="0"/>
    <x v="3"/>
  </r>
  <r>
    <s v="ACX249"/>
    <s v="Md.Naiem Miah"/>
    <x v="3"/>
    <x v="0"/>
    <x v="2"/>
    <x v="1"/>
    <d v="2024-06-18T00:00:00"/>
    <d v="2023-12-21T00:00:00"/>
    <x v="0"/>
    <x v="0"/>
    <x v="5"/>
    <s v="Board Bazar"/>
    <s v="3km-5km"/>
    <x v="0"/>
    <n v="5000"/>
    <x v="0"/>
    <x v="7"/>
    <x v="0"/>
    <x v="3"/>
  </r>
  <r>
    <s v="ACX250"/>
    <s v="Sadhon Kumar Sarker"/>
    <x v="3"/>
    <x v="0"/>
    <x v="2"/>
    <x v="1"/>
    <d v="2024-06-18T00:00:00"/>
    <d v="2023-12-21T00:00:00"/>
    <x v="0"/>
    <x v="0"/>
    <x v="0"/>
    <s v="Board Bazar"/>
    <s v="3km-5km"/>
    <x v="0"/>
    <n v="5000"/>
    <x v="0"/>
    <x v="7"/>
    <x v="0"/>
    <x v="3"/>
  </r>
  <r>
    <s v="ACX251"/>
    <s v="Meghla Akter"/>
    <x v="3"/>
    <x v="0"/>
    <x v="2"/>
    <x v="1"/>
    <d v="2024-06-20T00:00:00"/>
    <d v="2023-12-23T00:00:00"/>
    <x v="1"/>
    <x v="0"/>
    <x v="1"/>
    <s v="Sign board"/>
    <s v="3km-5km"/>
    <x v="0"/>
    <n v="5000"/>
    <x v="0"/>
    <x v="7"/>
    <x v="0"/>
    <x v="3"/>
  </r>
  <r>
    <s v="ACX252"/>
    <s v="Naznin Nahar"/>
    <x v="3"/>
    <x v="0"/>
    <x v="2"/>
    <x v="1"/>
    <d v="2024-06-20T00:00:00"/>
    <d v="2023-12-23T00:00:00"/>
    <x v="1"/>
    <x v="1"/>
    <x v="3"/>
    <s v="Gazipura 27"/>
    <s v="1km -3km"/>
    <x v="0"/>
    <n v="5000"/>
    <x v="0"/>
    <x v="7"/>
    <x v="0"/>
    <x v="3"/>
  </r>
  <r>
    <s v="ACX253"/>
    <s v="Md. Roni Miah"/>
    <x v="2"/>
    <x v="0"/>
    <x v="2"/>
    <x v="1"/>
    <d v="2024-06-20T00:00:00"/>
    <d v="2023-12-23T00:00:00"/>
    <x v="0"/>
    <x v="0"/>
    <x v="1"/>
    <s v="Gazipura 27"/>
    <s v="1km -3km"/>
    <x v="0"/>
    <n v="5000"/>
    <x v="0"/>
    <x v="7"/>
    <x v="0"/>
    <x v="3"/>
  </r>
  <r>
    <s v="ACX254"/>
    <s v="Md. Sujon Mia"/>
    <x v="3"/>
    <x v="0"/>
    <x v="2"/>
    <x v="1"/>
    <d v="2024-06-20T00:00:00"/>
    <d v="2023-12-23T00:00:00"/>
    <x v="0"/>
    <x v="1"/>
    <x v="1"/>
    <s v="Gazipura 27"/>
    <s v="1km -3km"/>
    <x v="0"/>
    <n v="5000"/>
    <x v="0"/>
    <x v="7"/>
    <x v="0"/>
    <x v="3"/>
  </r>
  <r>
    <s v="ACX255"/>
    <s v="Md. Masum Mia"/>
    <x v="0"/>
    <x v="0"/>
    <x v="2"/>
    <x v="1"/>
    <d v="2024-06-20T00:00:00"/>
    <d v="2023-12-23T00:00:00"/>
    <x v="0"/>
    <x v="0"/>
    <x v="2"/>
    <s v="Gazipur Sadar"/>
    <s v="10-15km"/>
    <x v="0"/>
    <n v="5000"/>
    <x v="0"/>
    <x v="7"/>
    <x v="0"/>
    <x v="3"/>
  </r>
  <r>
    <s v="ACX256"/>
    <s v="Mithun Paul"/>
    <x v="3"/>
    <x v="7"/>
    <x v="2"/>
    <x v="1"/>
    <d v="2024-06-20T00:00:00"/>
    <d v="2023-12-23T00:00:00"/>
    <x v="0"/>
    <x v="1"/>
    <x v="2"/>
    <s v="Gazipura 27"/>
    <s v="1km -3km"/>
    <x v="0"/>
    <n v="5000"/>
    <x v="1"/>
    <x v="7"/>
    <x v="0"/>
    <x v="3"/>
  </r>
  <r>
    <s v="ACX257"/>
    <s v="Mohammad Billal Hosen"/>
    <x v="5"/>
    <x v="7"/>
    <x v="2"/>
    <x v="1"/>
    <d v="2024-06-20T00:00:00"/>
    <d v="2023-12-23T00:00:00"/>
    <x v="0"/>
    <x v="0"/>
    <x v="2"/>
    <s v="Gazipura 27"/>
    <s v="1km -3km"/>
    <x v="0"/>
    <n v="5000"/>
    <x v="1"/>
    <x v="7"/>
    <x v="0"/>
    <x v="3"/>
  </r>
  <r>
    <s v="ACX258"/>
    <s v="Kaiyoum Sikder"/>
    <x v="3"/>
    <x v="0"/>
    <x v="2"/>
    <x v="1"/>
    <d v="2024-06-20T00:00:00"/>
    <d v="2023-12-23T00:00:00"/>
    <x v="0"/>
    <x v="0"/>
    <x v="2"/>
    <s v="Ershad Nagar"/>
    <s v="1km -3km"/>
    <x v="0"/>
    <n v="5000"/>
    <x v="0"/>
    <x v="7"/>
    <x v="0"/>
    <x v="3"/>
  </r>
  <r>
    <s v="ACX259"/>
    <s v="Md. Antor Ali"/>
    <x v="3"/>
    <x v="0"/>
    <x v="2"/>
    <x v="1"/>
    <d v="2024-06-20T00:00:00"/>
    <d v="2023-12-23T00:00:00"/>
    <x v="0"/>
    <x v="0"/>
    <x v="0"/>
    <s v="Gazipura 27"/>
    <s v="1km -3km"/>
    <x v="0"/>
    <n v="5000"/>
    <x v="0"/>
    <x v="7"/>
    <x v="0"/>
    <x v="3"/>
  </r>
  <r>
    <s v="ACX260"/>
    <s v="Md. Shakil Hossain"/>
    <x v="2"/>
    <x v="0"/>
    <x v="2"/>
    <x v="1"/>
    <d v="2024-06-20T00:00:00"/>
    <d v="2023-12-23T00:00:00"/>
    <x v="0"/>
    <x v="0"/>
    <x v="0"/>
    <s v="Gazipur Chowrasta"/>
    <s v="5-10km"/>
    <x v="0"/>
    <n v="5000"/>
    <x v="0"/>
    <x v="7"/>
    <x v="0"/>
    <x v="3"/>
  </r>
  <r>
    <s v="ACX261"/>
    <s v="Md. Jehad Hossain"/>
    <x v="2"/>
    <x v="0"/>
    <x v="2"/>
    <x v="1"/>
    <d v="2024-06-20T00:00:00"/>
    <d v="2023-12-23T00:00:00"/>
    <x v="0"/>
    <x v="0"/>
    <x v="3"/>
    <s v="Gazipura 27"/>
    <s v="1km -3km"/>
    <x v="0"/>
    <n v="5000"/>
    <x v="0"/>
    <x v="7"/>
    <x v="0"/>
    <x v="3"/>
  </r>
  <r>
    <s v="ACX262"/>
    <s v="Iffatara Mitu"/>
    <x v="3"/>
    <x v="0"/>
    <x v="2"/>
    <x v="1"/>
    <d v="2024-06-21T00:00:00"/>
    <d v="2023-12-24T00:00:00"/>
    <x v="1"/>
    <x v="1"/>
    <x v="0"/>
    <s v="Board Bazar"/>
    <s v="3km-5km"/>
    <x v="0"/>
    <n v="27000"/>
    <x v="0"/>
    <x v="7"/>
    <x v="0"/>
    <x v="3"/>
  </r>
  <r>
    <s v="ACX263"/>
    <s v="Md. Oli Bahar"/>
    <x v="2"/>
    <x v="0"/>
    <x v="2"/>
    <x v="1"/>
    <d v="2024-06-21T00:00:00"/>
    <d v="2023-12-24T00:00:00"/>
    <x v="0"/>
    <x v="0"/>
    <x v="2"/>
    <s v="Gacha"/>
    <s v="3km-5km"/>
    <x v="0"/>
    <n v="27000"/>
    <x v="0"/>
    <x v="7"/>
    <x v="0"/>
    <x v="3"/>
  </r>
  <r>
    <s v="ACX264"/>
    <s v="Md. Yamin Hossain"/>
    <x v="5"/>
    <x v="0"/>
    <x v="2"/>
    <x v="1"/>
    <d v="2024-06-21T00:00:00"/>
    <d v="2023-12-24T00:00:00"/>
    <x v="0"/>
    <x v="0"/>
    <x v="0"/>
    <s v="Gazipura 27"/>
    <s v="1km -3km"/>
    <x v="0"/>
    <n v="27000"/>
    <x v="0"/>
    <x v="7"/>
    <x v="0"/>
    <x v="3"/>
  </r>
  <r>
    <s v="ACX265"/>
    <s v="Mamunur Rashid"/>
    <x v="3"/>
    <x v="0"/>
    <x v="2"/>
    <x v="1"/>
    <d v="2024-06-21T00:00:00"/>
    <d v="2023-12-24T00:00:00"/>
    <x v="0"/>
    <x v="0"/>
    <x v="1"/>
    <s v="Board Bazar"/>
    <s v="3km-5km"/>
    <x v="0"/>
    <n v="27000"/>
    <x v="0"/>
    <x v="7"/>
    <x v="0"/>
    <x v="3"/>
  </r>
  <r>
    <s v="ACX266"/>
    <s v="Nure Alam Siddiki"/>
    <x v="3"/>
    <x v="0"/>
    <x v="2"/>
    <x v="1"/>
    <d v="2024-06-21T00:00:00"/>
    <d v="2023-12-24T00:00:00"/>
    <x v="0"/>
    <x v="1"/>
    <x v="2"/>
    <s v="Sign board"/>
    <s v="3km-5km"/>
    <x v="0"/>
    <n v="27000"/>
    <x v="0"/>
    <x v="7"/>
    <x v="0"/>
    <x v="3"/>
  </r>
  <r>
    <s v="ACX267"/>
    <s v="Rana"/>
    <x v="6"/>
    <x v="0"/>
    <x v="2"/>
    <x v="1"/>
    <d v="2024-06-23T00:00:00"/>
    <d v="2023-12-26T00:00:00"/>
    <x v="0"/>
    <x v="0"/>
    <x v="0"/>
    <s v="Charagali"/>
    <s v="3km-5km"/>
    <x v="0"/>
    <n v="27000"/>
    <x v="0"/>
    <x v="7"/>
    <x v="0"/>
    <x v="3"/>
  </r>
  <r>
    <s v="ACX268"/>
    <s v="Choyon Kumar Shill"/>
    <x v="0"/>
    <x v="0"/>
    <x v="2"/>
    <x v="1"/>
    <d v="2024-06-23T00:00:00"/>
    <d v="2023-12-26T00:00:00"/>
    <x v="0"/>
    <x v="0"/>
    <x v="2"/>
    <s v="Gazipura 27"/>
    <s v="1km -3km"/>
    <x v="0"/>
    <n v="27000"/>
    <x v="0"/>
    <x v="7"/>
    <x v="0"/>
    <x v="3"/>
  </r>
  <r>
    <s v="ACX269"/>
    <s v="Farhaduzzaman"/>
    <x v="0"/>
    <x v="0"/>
    <x v="2"/>
    <x v="1"/>
    <d v="2024-06-23T00:00:00"/>
    <d v="2023-12-26T00:00:00"/>
    <x v="0"/>
    <x v="0"/>
    <x v="1"/>
    <s v="Gazipura 27"/>
    <s v="1km -3km"/>
    <x v="0"/>
    <n v="27000"/>
    <x v="0"/>
    <x v="7"/>
    <x v="0"/>
    <x v="3"/>
  </r>
  <r>
    <s v="ACX270"/>
    <s v="Shahriar Ahmed"/>
    <x v="2"/>
    <x v="6"/>
    <x v="2"/>
    <x v="1"/>
    <d v="2024-06-23T00:00:00"/>
    <d v="2023-12-26T00:00:00"/>
    <x v="0"/>
    <x v="0"/>
    <x v="1"/>
    <s v="Gazipura 27"/>
    <s v="1km -3km"/>
    <x v="0"/>
    <n v="27000"/>
    <x v="1"/>
    <x v="7"/>
    <x v="0"/>
    <x v="3"/>
  </r>
  <r>
    <s v="ACX271"/>
    <s v="Md. Tarikul Islam Raju"/>
    <x v="3"/>
    <x v="0"/>
    <x v="2"/>
    <x v="1"/>
    <d v="2024-06-23T00:00:00"/>
    <d v="2023-12-26T00:00:00"/>
    <x v="0"/>
    <x v="0"/>
    <x v="0"/>
    <s v="Gazipura 27"/>
    <s v="1km -3km"/>
    <x v="0"/>
    <n v="27000"/>
    <x v="0"/>
    <x v="7"/>
    <x v="0"/>
    <x v="3"/>
  </r>
  <r>
    <s v="ACX272"/>
    <s v="Rakibul Islam"/>
    <x v="2"/>
    <x v="7"/>
    <x v="2"/>
    <x v="1"/>
    <d v="2024-06-23T00:00:00"/>
    <d v="2023-12-26T00:00:00"/>
    <x v="0"/>
    <x v="0"/>
    <x v="2"/>
    <s v="Gazipura 27"/>
    <s v="1km -3km"/>
    <x v="0"/>
    <n v="27000"/>
    <x v="1"/>
    <x v="7"/>
    <x v="0"/>
    <x v="3"/>
  </r>
  <r>
    <s v="ACX273"/>
    <s v="Dipali Akter"/>
    <x v="2"/>
    <x v="0"/>
    <x v="2"/>
    <x v="1"/>
    <d v="2024-06-23T00:00:00"/>
    <d v="2023-12-26T00:00:00"/>
    <x v="1"/>
    <x v="0"/>
    <x v="0"/>
    <s v="Gazipura 27"/>
    <s v="1km -3km"/>
    <x v="0"/>
    <n v="27000"/>
    <x v="0"/>
    <x v="7"/>
    <x v="0"/>
    <x v="3"/>
  </r>
  <r>
    <s v="ACX274"/>
    <s v="Monalisa Akter"/>
    <x v="0"/>
    <x v="0"/>
    <x v="2"/>
    <x v="1"/>
    <d v="2024-06-23T00:00:00"/>
    <d v="2023-12-26T00:00:00"/>
    <x v="1"/>
    <x v="0"/>
    <x v="0"/>
    <s v="Gazipura 27"/>
    <s v="1km -3km"/>
    <x v="0"/>
    <n v="27000"/>
    <x v="0"/>
    <x v="7"/>
    <x v="0"/>
    <x v="3"/>
  </r>
  <r>
    <s v="ACX275"/>
    <s v="Amena Akter"/>
    <x v="3"/>
    <x v="0"/>
    <x v="2"/>
    <x v="1"/>
    <d v="2024-06-23T00:00:00"/>
    <d v="2023-12-26T00:00:00"/>
    <x v="1"/>
    <x v="0"/>
    <x v="0"/>
    <s v="Gazipura 27"/>
    <s v="1km -3km"/>
    <x v="0"/>
    <n v="27000"/>
    <x v="0"/>
    <x v="7"/>
    <x v="0"/>
    <x v="3"/>
  </r>
  <r>
    <s v="ACX276"/>
    <s v="Jannatul Fedous Rumi"/>
    <x v="3"/>
    <x v="0"/>
    <x v="2"/>
    <x v="1"/>
    <d v="2024-06-23T00:00:00"/>
    <d v="2023-12-26T00:00:00"/>
    <x v="1"/>
    <x v="0"/>
    <x v="2"/>
    <s v="Gazipura 27"/>
    <s v="1km -3km"/>
    <x v="0"/>
    <n v="27000"/>
    <x v="0"/>
    <x v="7"/>
    <x v="0"/>
    <x v="3"/>
  </r>
  <r>
    <s v="ACX277"/>
    <s v="Parama Biswas"/>
    <x v="2"/>
    <x v="0"/>
    <x v="2"/>
    <x v="1"/>
    <d v="2024-06-23T00:00:00"/>
    <d v="2023-12-26T00:00:00"/>
    <x v="1"/>
    <x v="0"/>
    <x v="1"/>
    <s v="Gazipura 27"/>
    <s v="1km -3km"/>
    <x v="0"/>
    <n v="27000"/>
    <x v="0"/>
    <x v="7"/>
    <x v="0"/>
    <x v="3"/>
  </r>
  <r>
    <s v="ACX278"/>
    <s v="Mst. Ummey Habiba"/>
    <x v="2"/>
    <x v="0"/>
    <x v="2"/>
    <x v="1"/>
    <d v="2024-06-23T00:00:00"/>
    <d v="2023-12-26T00:00:00"/>
    <x v="1"/>
    <x v="0"/>
    <x v="0"/>
    <s v="Gazipura 27"/>
    <s v="1km -3km"/>
    <x v="0"/>
    <n v="27000"/>
    <x v="0"/>
    <x v="7"/>
    <x v="0"/>
    <x v="3"/>
  </r>
  <r>
    <s v="ACX279"/>
    <s v="Bithe Akter"/>
    <x v="1"/>
    <x v="0"/>
    <x v="2"/>
    <x v="1"/>
    <d v="2024-06-23T00:00:00"/>
    <d v="2023-12-26T00:00:00"/>
    <x v="1"/>
    <x v="0"/>
    <x v="6"/>
    <s v="Gazipura 27"/>
    <s v="1km -3km"/>
    <x v="0"/>
    <n v="27000"/>
    <x v="0"/>
    <x v="7"/>
    <x v="0"/>
    <x v="3"/>
  </r>
  <r>
    <s v="ACX280"/>
    <s v="Md. Shohag Shaikh"/>
    <x v="2"/>
    <x v="0"/>
    <x v="2"/>
    <x v="1"/>
    <d v="2024-06-23T00:00:00"/>
    <d v="2023-12-26T00:00:00"/>
    <x v="0"/>
    <x v="0"/>
    <x v="2"/>
    <s v="Gazipura 27"/>
    <s v="1km -3km"/>
    <x v="0"/>
    <n v="27000"/>
    <x v="0"/>
    <x v="7"/>
    <x v="0"/>
    <x v="3"/>
  </r>
  <r>
    <s v="ACX281"/>
    <s v="Muni Akter"/>
    <x v="3"/>
    <x v="7"/>
    <x v="2"/>
    <x v="1"/>
    <d v="2024-06-23T00:00:00"/>
    <d v="2023-12-26T00:00:00"/>
    <x v="1"/>
    <x v="0"/>
    <x v="2"/>
    <s v="Gazipura 27"/>
    <s v="1km -3km"/>
    <x v="0"/>
    <n v="27000"/>
    <x v="1"/>
    <x v="7"/>
    <x v="0"/>
    <x v="3"/>
  </r>
  <r>
    <s v="ACX282"/>
    <s v="Md. Nazmul Hossain"/>
    <x v="3"/>
    <x v="0"/>
    <x v="2"/>
    <x v="1"/>
    <d v="2024-06-23T00:00:00"/>
    <d v="2023-12-26T00:00:00"/>
    <x v="0"/>
    <x v="0"/>
    <x v="1"/>
    <s v="Board Bazar"/>
    <s v="3km-5km"/>
    <x v="0"/>
    <n v="27000"/>
    <x v="0"/>
    <x v="7"/>
    <x v="0"/>
    <x v="3"/>
  </r>
  <r>
    <s v="ACX283"/>
    <s v="Md. Mahfuzur Rahman"/>
    <x v="2"/>
    <x v="0"/>
    <x v="2"/>
    <x v="1"/>
    <d v="2024-06-23T00:00:00"/>
    <d v="2023-12-26T00:00:00"/>
    <x v="0"/>
    <x v="0"/>
    <x v="0"/>
    <s v="Board Bazar"/>
    <s v="3km-5km"/>
    <x v="0"/>
    <n v="27000"/>
    <x v="0"/>
    <x v="7"/>
    <x v="0"/>
    <x v="3"/>
  </r>
  <r>
    <s v="ACX284"/>
    <s v="Md. Abdul Momin"/>
    <x v="5"/>
    <x v="0"/>
    <x v="2"/>
    <x v="1"/>
    <d v="2024-06-24T00:00:00"/>
    <d v="2023-12-27T00:00:00"/>
    <x v="0"/>
    <x v="0"/>
    <x v="7"/>
    <s v="Gazipura 27"/>
    <s v="1km -3km"/>
    <x v="0"/>
    <n v="27000"/>
    <x v="0"/>
    <x v="7"/>
    <x v="0"/>
    <x v="3"/>
  </r>
  <r>
    <s v="ACX285"/>
    <s v="Md. Imam Hossain Siam"/>
    <x v="0"/>
    <x v="0"/>
    <x v="2"/>
    <x v="1"/>
    <d v="2024-06-24T00:00:00"/>
    <d v="2023-12-27T00:00:00"/>
    <x v="0"/>
    <x v="0"/>
    <x v="5"/>
    <s v="Boro Bari"/>
    <s v="3km-5km"/>
    <x v="0"/>
    <n v="27000"/>
    <x v="0"/>
    <x v="7"/>
    <x v="0"/>
    <x v="3"/>
  </r>
  <r>
    <s v="ACX286"/>
    <s v="Rita Akter"/>
    <x v="0"/>
    <x v="0"/>
    <x v="2"/>
    <x v="1"/>
    <d v="2024-06-24T00:00:00"/>
    <d v="2023-12-27T00:00:00"/>
    <x v="1"/>
    <x v="0"/>
    <x v="2"/>
    <s v="Ershad Nagar"/>
    <s v="1km -3km"/>
    <x v="0"/>
    <n v="27000"/>
    <x v="0"/>
    <x v="7"/>
    <x v="0"/>
    <x v="3"/>
  </r>
  <r>
    <s v="ACX287"/>
    <s v="Tanjina Akter Mukta"/>
    <x v="2"/>
    <x v="0"/>
    <x v="2"/>
    <x v="1"/>
    <d v="2024-06-27T00:00:00"/>
    <d v="2023-12-30T00:00:00"/>
    <x v="1"/>
    <x v="0"/>
    <x v="1"/>
    <s v="Boro Bari"/>
    <s v="3km-5km"/>
    <x v="0"/>
    <n v="30000"/>
    <x v="0"/>
    <x v="7"/>
    <x v="0"/>
    <x v="3"/>
  </r>
  <r>
    <s v="ACX288"/>
    <s v="Mahadi Hasan"/>
    <x v="0"/>
    <x v="0"/>
    <x v="2"/>
    <x v="1"/>
    <d v="2024-06-27T00:00:00"/>
    <d v="2023-12-30T00:00:00"/>
    <x v="0"/>
    <x v="0"/>
    <x v="3"/>
    <s v="Board Bazar"/>
    <s v="3km-5km"/>
    <x v="0"/>
    <n v="30000"/>
    <x v="0"/>
    <x v="7"/>
    <x v="0"/>
    <x v="3"/>
  </r>
  <r>
    <s v="ACX289"/>
    <s v="Md. Sohag"/>
    <x v="3"/>
    <x v="0"/>
    <x v="2"/>
    <x v="1"/>
    <d v="2024-06-27T00:00:00"/>
    <d v="2023-12-30T00:00:00"/>
    <x v="0"/>
    <x v="0"/>
    <x v="3"/>
    <s v="Gazipura 27"/>
    <s v="1km -3km"/>
    <x v="0"/>
    <n v="30000"/>
    <x v="0"/>
    <x v="7"/>
    <x v="0"/>
    <x v="3"/>
  </r>
  <r>
    <s v="ACX290"/>
    <s v="Md. Mahafuj Ali"/>
    <x v="2"/>
    <x v="0"/>
    <x v="2"/>
    <x v="1"/>
    <d v="2024-06-29T00:00:00"/>
    <d v="2024-01-01T00:00:00"/>
    <x v="0"/>
    <x v="0"/>
    <x v="5"/>
    <s v="Board Bazar"/>
    <s v="3km-5km"/>
    <x v="0"/>
    <n v="30000"/>
    <x v="0"/>
    <x v="8"/>
    <x v="1"/>
    <x v="0"/>
  </r>
  <r>
    <s v="ACX291"/>
    <s v="Rezaul Islam Sajib"/>
    <x v="0"/>
    <x v="0"/>
    <x v="2"/>
    <x v="1"/>
    <d v="2024-06-29T00:00:00"/>
    <d v="2024-01-01T00:00:00"/>
    <x v="0"/>
    <x v="0"/>
    <x v="2"/>
    <s v="Khilkhet"/>
    <s v="10-15km"/>
    <x v="0"/>
    <n v="30000"/>
    <x v="0"/>
    <x v="8"/>
    <x v="1"/>
    <x v="0"/>
  </r>
  <r>
    <s v="ACX292"/>
    <s v="Rezuan Ullah"/>
    <x v="0"/>
    <x v="0"/>
    <x v="2"/>
    <x v="1"/>
    <d v="2024-06-29T00:00:00"/>
    <d v="2024-01-01T00:00:00"/>
    <x v="0"/>
    <x v="0"/>
    <x v="0"/>
    <s v="Gazipura 27"/>
    <s v="1km -3km"/>
    <x v="0"/>
    <n v="30000"/>
    <x v="0"/>
    <x v="8"/>
    <x v="1"/>
    <x v="0"/>
  </r>
  <r>
    <s v="ACX293"/>
    <s v="Pobitra Chandra"/>
    <x v="2"/>
    <x v="0"/>
    <x v="2"/>
    <x v="1"/>
    <d v="2024-06-29T00:00:00"/>
    <d v="2024-01-01T00:00:00"/>
    <x v="0"/>
    <x v="0"/>
    <x v="2"/>
    <s v="Gazipura 27"/>
    <s v="1km -3km"/>
    <x v="0"/>
    <n v="30000"/>
    <x v="0"/>
    <x v="8"/>
    <x v="1"/>
    <x v="0"/>
  </r>
  <r>
    <s v="ACX294"/>
    <s v="Mostafizur Rahman"/>
    <x v="2"/>
    <x v="0"/>
    <x v="2"/>
    <x v="1"/>
    <d v="2024-06-29T00:00:00"/>
    <d v="2024-01-01T00:00:00"/>
    <x v="0"/>
    <x v="1"/>
    <x v="3"/>
    <s v="Gazipura 27"/>
    <s v="1km -3km"/>
    <x v="0"/>
    <n v="30000"/>
    <x v="0"/>
    <x v="8"/>
    <x v="1"/>
    <x v="0"/>
  </r>
  <r>
    <s v="ACX295"/>
    <s v="Joy Chondro Dus"/>
    <x v="0"/>
    <x v="0"/>
    <x v="2"/>
    <x v="1"/>
    <d v="2024-06-29T00:00:00"/>
    <d v="2024-01-01T00:00:00"/>
    <x v="0"/>
    <x v="0"/>
    <x v="5"/>
    <s v="Gazipura 27"/>
    <s v="1km -3km"/>
    <x v="0"/>
    <n v="30000"/>
    <x v="0"/>
    <x v="8"/>
    <x v="1"/>
    <x v="0"/>
  </r>
  <r>
    <s v="ACX296"/>
    <s v="Rakibul Islam"/>
    <x v="3"/>
    <x v="0"/>
    <x v="2"/>
    <x v="1"/>
    <d v="2024-06-29T00:00:00"/>
    <d v="2024-01-01T00:00:00"/>
    <x v="0"/>
    <x v="0"/>
    <x v="2"/>
    <s v="Vogra Baypass"/>
    <s v="5-10km"/>
    <x v="0"/>
    <n v="30000"/>
    <x v="0"/>
    <x v="8"/>
    <x v="1"/>
    <x v="0"/>
  </r>
  <r>
    <s v="ACX297"/>
    <s v="Hosneara"/>
    <x v="2"/>
    <x v="0"/>
    <x v="2"/>
    <x v="1"/>
    <d v="2024-06-29T00:00:00"/>
    <d v="2024-01-01T00:00:00"/>
    <x v="1"/>
    <x v="0"/>
    <x v="0"/>
    <s v="Gacha"/>
    <s v="3km-5km"/>
    <x v="0"/>
    <n v="30000"/>
    <x v="0"/>
    <x v="8"/>
    <x v="1"/>
    <x v="0"/>
  </r>
  <r>
    <s v="ACX298"/>
    <s v="Easha Moni"/>
    <x v="2"/>
    <x v="0"/>
    <x v="2"/>
    <x v="1"/>
    <d v="2024-06-29T00:00:00"/>
    <d v="2024-01-01T00:00:00"/>
    <x v="1"/>
    <x v="1"/>
    <x v="2"/>
    <s v="Gazipura 27"/>
    <s v="1km -3km"/>
    <x v="0"/>
    <n v="30000"/>
    <x v="0"/>
    <x v="8"/>
    <x v="1"/>
    <x v="0"/>
  </r>
  <r>
    <s v="ACX299"/>
    <s v="Riad Talukdar"/>
    <x v="2"/>
    <x v="0"/>
    <x v="2"/>
    <x v="1"/>
    <d v="2024-06-29T00:00:00"/>
    <d v="2024-01-01T00:00:00"/>
    <x v="0"/>
    <x v="1"/>
    <x v="2"/>
    <s v="Gazipura 27"/>
    <s v="1km -3km"/>
    <x v="0"/>
    <n v="30000"/>
    <x v="0"/>
    <x v="8"/>
    <x v="1"/>
    <x v="0"/>
  </r>
  <r>
    <s v="ACX300"/>
    <s v="Mujahidul Islam"/>
    <x v="3"/>
    <x v="0"/>
    <x v="2"/>
    <x v="1"/>
    <d v="2024-06-29T00:00:00"/>
    <d v="2024-01-01T00:00:00"/>
    <x v="0"/>
    <x v="0"/>
    <x v="1"/>
    <s v="Gazipura 27"/>
    <s v="1km -3km"/>
    <x v="0"/>
    <n v="30000"/>
    <x v="0"/>
    <x v="8"/>
    <x v="1"/>
    <x v="0"/>
  </r>
  <r>
    <s v="ACX301"/>
    <s v="Mohon"/>
    <x v="2"/>
    <x v="8"/>
    <x v="2"/>
    <x v="1"/>
    <d v="2024-06-29T00:00:00"/>
    <d v="2024-01-01T00:00:00"/>
    <x v="0"/>
    <x v="0"/>
    <x v="1"/>
    <s v="Gazipura 27"/>
    <s v="1km -3km"/>
    <x v="0"/>
    <n v="30000"/>
    <x v="1"/>
    <x v="8"/>
    <x v="1"/>
    <x v="0"/>
  </r>
  <r>
    <s v="ACX302"/>
    <s v="Md. Sujon  Ali Shekh"/>
    <x v="2"/>
    <x v="8"/>
    <x v="2"/>
    <x v="1"/>
    <d v="2024-06-29T00:00:00"/>
    <d v="2024-01-01T00:00:00"/>
    <x v="0"/>
    <x v="0"/>
    <x v="1"/>
    <s v="Gazipura 27"/>
    <s v="1km -3km"/>
    <x v="0"/>
    <n v="30000"/>
    <x v="1"/>
    <x v="8"/>
    <x v="1"/>
    <x v="0"/>
  </r>
  <r>
    <s v="ACX303"/>
    <s v="Md. Al Rafi"/>
    <x v="3"/>
    <x v="0"/>
    <x v="2"/>
    <x v="1"/>
    <d v="2024-06-30T00:00:00"/>
    <d v="2024-01-02T00:00:00"/>
    <x v="0"/>
    <x v="0"/>
    <x v="7"/>
    <s v="Boro Bari "/>
    <s v="3km-5km"/>
    <x v="0"/>
    <n v="30000"/>
    <x v="0"/>
    <x v="8"/>
    <x v="1"/>
    <x v="0"/>
  </r>
  <r>
    <s v="ACX304"/>
    <s v="Sakib Ahmed Nobi"/>
    <x v="3"/>
    <x v="0"/>
    <x v="2"/>
    <x v="1"/>
    <d v="2024-06-30T00:00:00"/>
    <d v="2024-01-02T00:00:00"/>
    <x v="0"/>
    <x v="0"/>
    <x v="0"/>
    <s v="Board Bazar"/>
    <s v="3km-5km"/>
    <x v="0"/>
    <n v="30000"/>
    <x v="0"/>
    <x v="8"/>
    <x v="1"/>
    <x v="0"/>
  </r>
  <r>
    <s v="ACX305"/>
    <s v="Md. Zamil Hossen"/>
    <x v="2"/>
    <x v="0"/>
    <x v="2"/>
    <x v="1"/>
    <d v="2024-06-30T00:00:00"/>
    <d v="2024-01-02T00:00:00"/>
    <x v="0"/>
    <x v="0"/>
    <x v="2"/>
    <s v="Gazipura 27"/>
    <s v="1km -3km"/>
    <x v="0"/>
    <n v="30000"/>
    <x v="0"/>
    <x v="8"/>
    <x v="1"/>
    <x v="0"/>
  </r>
  <r>
    <s v="ACX306"/>
    <s v="Jannatul Fardaus"/>
    <x v="3"/>
    <x v="0"/>
    <x v="2"/>
    <x v="1"/>
    <d v="2024-07-01T00:00:00"/>
    <d v="2024-01-03T00:00:00"/>
    <x v="1"/>
    <x v="0"/>
    <x v="2"/>
    <s v="Bason"/>
    <s v="5km-10km"/>
    <x v="0"/>
    <n v="30000"/>
    <x v="0"/>
    <x v="8"/>
    <x v="1"/>
    <x v="0"/>
  </r>
  <r>
    <s v="ACX307"/>
    <s v="Roxi Akter Bristi"/>
    <x v="3"/>
    <x v="0"/>
    <x v="2"/>
    <x v="1"/>
    <d v="2024-07-01T00:00:00"/>
    <d v="2024-01-03T00:00:00"/>
    <x v="1"/>
    <x v="0"/>
    <x v="1"/>
    <s v="Gazipura 27"/>
    <s v="1km -3km"/>
    <x v="0"/>
    <n v="30000"/>
    <x v="0"/>
    <x v="8"/>
    <x v="1"/>
    <x v="0"/>
  </r>
  <r>
    <s v="ACX308"/>
    <s v="Zahid Hasan"/>
    <x v="2"/>
    <x v="0"/>
    <x v="2"/>
    <x v="1"/>
    <d v="2024-07-04T00:00:00"/>
    <d v="2024-01-06T00:00:00"/>
    <x v="0"/>
    <x v="0"/>
    <x v="0"/>
    <s v="Board Bazar"/>
    <s v="3km-5km"/>
    <x v="0"/>
    <n v="30000"/>
    <x v="0"/>
    <x v="8"/>
    <x v="1"/>
    <x v="0"/>
  </r>
  <r>
    <s v="ACX309"/>
    <s v="Md. Emon Hossain"/>
    <x v="0"/>
    <x v="0"/>
    <x v="2"/>
    <x v="1"/>
    <d v="2024-07-04T00:00:00"/>
    <d v="2024-01-06T00:00:00"/>
    <x v="0"/>
    <x v="0"/>
    <x v="0"/>
    <s v="Board Bazar"/>
    <s v="3km-5km"/>
    <x v="0"/>
    <n v="30000"/>
    <x v="0"/>
    <x v="8"/>
    <x v="1"/>
    <x v="0"/>
  </r>
  <r>
    <s v="ACX310"/>
    <s v="Nadiya Akter Setu"/>
    <x v="0"/>
    <x v="0"/>
    <x v="2"/>
    <x v="1"/>
    <d v="2024-07-04T00:00:00"/>
    <d v="2024-01-06T00:00:00"/>
    <x v="1"/>
    <x v="1"/>
    <x v="0"/>
    <s v="Boro Bari"/>
    <s v="3km-5km"/>
    <x v="0"/>
    <n v="30000"/>
    <x v="0"/>
    <x v="8"/>
    <x v="1"/>
    <x v="0"/>
  </r>
  <r>
    <s v="ACX311"/>
    <s v="Mst. Ayesha Begum"/>
    <x v="2"/>
    <x v="0"/>
    <x v="2"/>
    <x v="1"/>
    <d v="2024-07-04T00:00:00"/>
    <d v="2024-01-06T00:00:00"/>
    <x v="1"/>
    <x v="0"/>
    <x v="1"/>
    <s v="Gazipura 27"/>
    <s v="1km -3km"/>
    <x v="0"/>
    <n v="6000"/>
    <x v="0"/>
    <x v="8"/>
    <x v="1"/>
    <x v="0"/>
  </r>
  <r>
    <s v="ACX312"/>
    <s v="Md. Saiful Islam"/>
    <x v="2"/>
    <x v="2"/>
    <x v="1"/>
    <x v="1"/>
    <d v="2024-07-02T00:00:00"/>
    <d v="2024-01-04T00:00:00"/>
    <x v="0"/>
    <x v="0"/>
    <x v="1"/>
    <s v="Gazipur Sadar"/>
    <s v="10-15km"/>
    <x v="0"/>
    <n v="6000"/>
    <x v="1"/>
    <x v="8"/>
    <x v="1"/>
    <x v="0"/>
  </r>
  <r>
    <s v="ACX313"/>
    <s v="Shahin Alam"/>
    <x v="3"/>
    <x v="0"/>
    <x v="2"/>
    <x v="1"/>
    <d v="2024-07-04T00:00:00"/>
    <d v="2024-01-06T00:00:00"/>
    <x v="0"/>
    <x v="0"/>
    <x v="5"/>
    <s v="Gazipura 27"/>
    <s v="1km -3km"/>
    <x v="0"/>
    <n v="6000"/>
    <x v="0"/>
    <x v="8"/>
    <x v="1"/>
    <x v="0"/>
  </r>
  <r>
    <s v="ACX314"/>
    <s v="Asif Hasan Jisan"/>
    <x v="3"/>
    <x v="0"/>
    <x v="2"/>
    <x v="1"/>
    <d v="2024-07-04T00:00:00"/>
    <d v="2024-01-06T00:00:00"/>
    <x v="0"/>
    <x v="0"/>
    <x v="0"/>
    <s v="Ershad Nagar"/>
    <s v="1km -3km"/>
    <x v="0"/>
    <n v="6000"/>
    <x v="0"/>
    <x v="8"/>
    <x v="1"/>
    <x v="0"/>
  </r>
  <r>
    <s v="ACX315"/>
    <s v="Md. Jahidul Islam"/>
    <x v="3"/>
    <x v="0"/>
    <x v="2"/>
    <x v="1"/>
    <d v="2024-07-07T00:00:00"/>
    <d v="2024-01-09T00:00:00"/>
    <x v="0"/>
    <x v="0"/>
    <x v="5"/>
    <s v="Hossen Market"/>
    <s v="1km -3km"/>
    <x v="0"/>
    <n v="6000"/>
    <x v="0"/>
    <x v="8"/>
    <x v="1"/>
    <x v="0"/>
  </r>
  <r>
    <s v="ACX316"/>
    <s v="Mst. Sammi Akter"/>
    <x v="2"/>
    <x v="0"/>
    <x v="2"/>
    <x v="1"/>
    <d v="2024-07-07T00:00:00"/>
    <d v="2024-01-09T00:00:00"/>
    <x v="1"/>
    <x v="0"/>
    <x v="5"/>
    <s v="Gacha"/>
    <s v="3km-5km"/>
    <x v="0"/>
    <n v="6000"/>
    <x v="0"/>
    <x v="8"/>
    <x v="1"/>
    <x v="0"/>
  </r>
  <r>
    <s v="ACX317"/>
    <s v="Banna Akter"/>
    <x v="5"/>
    <x v="0"/>
    <x v="2"/>
    <x v="1"/>
    <d v="2024-07-07T00:00:00"/>
    <d v="2024-01-09T00:00:00"/>
    <x v="1"/>
    <x v="1"/>
    <x v="2"/>
    <s v="Ershad Nagar"/>
    <s v="1km -3km"/>
    <x v="0"/>
    <n v="6000"/>
    <x v="0"/>
    <x v="8"/>
    <x v="1"/>
    <x v="0"/>
  </r>
  <r>
    <s v="ACX318"/>
    <s v="Afrin Akter Akhi"/>
    <x v="0"/>
    <x v="0"/>
    <x v="2"/>
    <x v="1"/>
    <d v="2024-07-07T00:00:00"/>
    <d v="2024-01-09T00:00:00"/>
    <x v="1"/>
    <x v="0"/>
    <x v="2"/>
    <s v="Ershad Nagar"/>
    <s v="1km -3km"/>
    <x v="0"/>
    <n v="6000"/>
    <x v="0"/>
    <x v="8"/>
    <x v="1"/>
    <x v="0"/>
  </r>
  <r>
    <s v="ACX319"/>
    <s v="Liza Akter Laboni"/>
    <x v="3"/>
    <x v="0"/>
    <x v="2"/>
    <x v="1"/>
    <d v="2024-07-07T00:00:00"/>
    <d v="2024-01-09T00:00:00"/>
    <x v="1"/>
    <x v="0"/>
    <x v="5"/>
    <s v="Ershad Nagar"/>
    <s v="1km -3km"/>
    <x v="0"/>
    <n v="6000"/>
    <x v="0"/>
    <x v="8"/>
    <x v="1"/>
    <x v="0"/>
  </r>
  <r>
    <s v="ACX320"/>
    <s v="Md. Nadim Hossain Choyon"/>
    <x v="0"/>
    <x v="0"/>
    <x v="2"/>
    <x v="1"/>
    <d v="2024-07-08T00:00:00"/>
    <d v="2024-01-10T00:00:00"/>
    <x v="0"/>
    <x v="0"/>
    <x v="0"/>
    <s v="Gacha"/>
    <s v="3km-5km"/>
    <x v="0"/>
    <n v="6000"/>
    <x v="0"/>
    <x v="8"/>
    <x v="1"/>
    <x v="0"/>
  </r>
  <r>
    <s v="ACX321"/>
    <s v="Khadeja Akter Anika"/>
    <x v="0"/>
    <x v="0"/>
    <x v="2"/>
    <x v="1"/>
    <d v="2024-07-08T00:00:00"/>
    <d v="2024-01-10T00:00:00"/>
    <x v="1"/>
    <x v="0"/>
    <x v="0"/>
    <s v="Gacha"/>
    <s v="3km-5km"/>
    <x v="0"/>
    <n v="6000"/>
    <x v="0"/>
    <x v="8"/>
    <x v="1"/>
    <x v="0"/>
  </r>
  <r>
    <s v="ACX322"/>
    <s v="Jerin"/>
    <x v="3"/>
    <x v="0"/>
    <x v="2"/>
    <x v="1"/>
    <d v="2024-07-08T00:00:00"/>
    <d v="2024-01-10T00:00:00"/>
    <x v="1"/>
    <x v="0"/>
    <x v="5"/>
    <s v="Azimpur Dhaka"/>
    <s v="20km-30km"/>
    <x v="0"/>
    <n v="6000"/>
    <x v="0"/>
    <x v="8"/>
    <x v="1"/>
    <x v="0"/>
  </r>
  <r>
    <s v="ACX323"/>
    <s v="Md. Alamin"/>
    <x v="2"/>
    <x v="0"/>
    <x v="2"/>
    <x v="1"/>
    <d v="2024-07-08T00:00:00"/>
    <d v="2024-01-10T00:00:00"/>
    <x v="0"/>
    <x v="0"/>
    <x v="0"/>
    <s v="Board Bazar"/>
    <s v="3km-5km"/>
    <x v="0"/>
    <n v="6000"/>
    <x v="0"/>
    <x v="8"/>
    <x v="1"/>
    <x v="0"/>
  </r>
  <r>
    <s v="ACX324"/>
    <s v="Md. Raju Mia"/>
    <x v="2"/>
    <x v="0"/>
    <x v="2"/>
    <x v="1"/>
    <d v="2024-07-08T00:00:00"/>
    <d v="2024-01-10T00:00:00"/>
    <x v="0"/>
    <x v="0"/>
    <x v="2"/>
    <s v="Board Bazar"/>
    <s v="3km-5km"/>
    <x v="0"/>
    <n v="6000"/>
    <x v="0"/>
    <x v="8"/>
    <x v="1"/>
    <x v="0"/>
  </r>
  <r>
    <s v="ACX325"/>
    <s v="Mukta Moni"/>
    <x v="2"/>
    <x v="0"/>
    <x v="2"/>
    <x v="1"/>
    <d v="2024-07-08T00:00:00"/>
    <d v="2024-01-10T00:00:00"/>
    <x v="1"/>
    <x v="0"/>
    <x v="5"/>
    <s v="Ershad Nagar"/>
    <s v="1km -3km"/>
    <x v="0"/>
    <n v="6000"/>
    <x v="0"/>
    <x v="8"/>
    <x v="1"/>
    <x v="0"/>
  </r>
  <r>
    <s v="ACX326"/>
    <s v="Azizul Hakim"/>
    <x v="2"/>
    <x v="0"/>
    <x v="2"/>
    <x v="1"/>
    <d v="2024-07-08T00:00:00"/>
    <d v="2024-01-10T00:00:00"/>
    <x v="0"/>
    <x v="0"/>
    <x v="2"/>
    <s v="Kunia"/>
    <s v="3km-5km"/>
    <x v="0"/>
    <n v="6000"/>
    <x v="0"/>
    <x v="8"/>
    <x v="1"/>
    <x v="0"/>
  </r>
  <r>
    <s v="ACX327"/>
    <s v="Khairul Islam Sagor"/>
    <x v="3"/>
    <x v="0"/>
    <x v="2"/>
    <x v="1"/>
    <d v="2024-07-08T00:00:00"/>
    <d v="2024-01-10T00:00:00"/>
    <x v="0"/>
    <x v="0"/>
    <x v="2"/>
    <s v="Gazipura 27"/>
    <s v="1km -3km"/>
    <x v="0"/>
    <n v="6000"/>
    <x v="0"/>
    <x v="8"/>
    <x v="1"/>
    <x v="0"/>
  </r>
  <r>
    <s v="ACX328"/>
    <s v="Atikur Rahman"/>
    <x v="3"/>
    <x v="0"/>
    <x v="2"/>
    <x v="1"/>
    <d v="2024-07-08T00:00:00"/>
    <d v="2024-01-10T00:00:00"/>
    <x v="0"/>
    <x v="0"/>
    <x v="0"/>
    <s v="Gazipura 27"/>
    <s v="1km -3km"/>
    <x v="0"/>
    <n v="6000"/>
    <x v="0"/>
    <x v="8"/>
    <x v="1"/>
    <x v="0"/>
  </r>
  <r>
    <s v="ACX329"/>
    <s v="Md. Masud Rana"/>
    <x v="3"/>
    <x v="0"/>
    <x v="2"/>
    <x v="1"/>
    <d v="2024-07-08T00:00:00"/>
    <d v="2024-01-10T00:00:00"/>
    <x v="0"/>
    <x v="0"/>
    <x v="0"/>
    <s v="Gazipura 27"/>
    <s v="1km -3km"/>
    <x v="0"/>
    <n v="6000"/>
    <x v="0"/>
    <x v="8"/>
    <x v="1"/>
    <x v="0"/>
  </r>
  <r>
    <s v="ACX330"/>
    <s v="Rima Akter"/>
    <x v="2"/>
    <x v="0"/>
    <x v="2"/>
    <x v="1"/>
    <d v="2024-07-08T00:00:00"/>
    <d v="2024-01-10T00:00:00"/>
    <x v="1"/>
    <x v="0"/>
    <x v="5"/>
    <s v="Gazipura 27"/>
    <s v="1km -3km"/>
    <x v="0"/>
    <n v="6000"/>
    <x v="0"/>
    <x v="8"/>
    <x v="1"/>
    <x v="0"/>
  </r>
  <r>
    <s v="ACX331"/>
    <s v="Nazmul Islam"/>
    <x v="5"/>
    <x v="2"/>
    <x v="1"/>
    <x v="1"/>
    <d v="2024-07-09T00:00:00"/>
    <d v="2024-01-11T00:00:00"/>
    <x v="0"/>
    <x v="1"/>
    <x v="3"/>
    <s v="Gazipura 27"/>
    <s v="1km -3km"/>
    <x v="0"/>
    <n v="6000"/>
    <x v="1"/>
    <x v="8"/>
    <x v="1"/>
    <x v="0"/>
  </r>
  <r>
    <s v="ACX332"/>
    <s v="Hridoy Hossain Khan"/>
    <x v="0"/>
    <x v="0"/>
    <x v="2"/>
    <x v="1"/>
    <d v="2024-07-09T00:00:00"/>
    <d v="2024-01-11T00:00:00"/>
    <x v="0"/>
    <x v="0"/>
    <x v="0"/>
    <s v="Vogra Baypass"/>
    <s v="5-10km"/>
    <x v="0"/>
    <n v="6000"/>
    <x v="0"/>
    <x v="8"/>
    <x v="1"/>
    <x v="0"/>
  </r>
  <r>
    <s v="ACX333"/>
    <s v="Saboj Mia"/>
    <x v="3"/>
    <x v="0"/>
    <x v="2"/>
    <x v="1"/>
    <d v="2024-07-09T00:00:00"/>
    <d v="2024-01-11T00:00:00"/>
    <x v="0"/>
    <x v="0"/>
    <x v="0"/>
    <s v="Gazipura 27"/>
    <s v="1km -3km"/>
    <x v="0"/>
    <n v="6000"/>
    <x v="0"/>
    <x v="8"/>
    <x v="1"/>
    <x v="0"/>
  </r>
  <r>
    <s v="ACX334"/>
    <s v="Fatama Iti"/>
    <x v="0"/>
    <x v="0"/>
    <x v="2"/>
    <x v="1"/>
    <d v="2024-07-09T00:00:00"/>
    <d v="2024-01-11T00:00:00"/>
    <x v="1"/>
    <x v="1"/>
    <x v="2"/>
    <s v="Gazipura 27"/>
    <s v="1km -3km"/>
    <x v="0"/>
    <n v="6000"/>
    <x v="0"/>
    <x v="8"/>
    <x v="1"/>
    <x v="0"/>
  </r>
  <r>
    <s v="ACX335"/>
    <s v="Rimu Akter"/>
    <x v="2"/>
    <x v="0"/>
    <x v="2"/>
    <x v="1"/>
    <d v="2024-07-09T00:00:00"/>
    <d v="2024-01-11T00:00:00"/>
    <x v="1"/>
    <x v="0"/>
    <x v="0"/>
    <s v="Vogra Baypass"/>
    <s v="5-10km"/>
    <x v="0"/>
    <n v="6000"/>
    <x v="0"/>
    <x v="8"/>
    <x v="1"/>
    <x v="0"/>
  </r>
  <r>
    <s v="ACX336"/>
    <s v="Dolon Akter Prova"/>
    <x v="2"/>
    <x v="0"/>
    <x v="2"/>
    <x v="1"/>
    <d v="2024-07-09T00:00:00"/>
    <d v="2024-01-11T00:00:00"/>
    <x v="1"/>
    <x v="0"/>
    <x v="1"/>
    <s v="Gacha"/>
    <s v="3km-5km"/>
    <x v="0"/>
    <n v="6000"/>
    <x v="0"/>
    <x v="8"/>
    <x v="1"/>
    <x v="0"/>
  </r>
  <r>
    <s v="ACX337"/>
    <s v="Sabiha Sultana Masuma"/>
    <x v="2"/>
    <x v="0"/>
    <x v="2"/>
    <x v="1"/>
    <d v="2024-07-10T00:00:00"/>
    <d v="2024-01-12T00:00:00"/>
    <x v="1"/>
    <x v="0"/>
    <x v="0"/>
    <s v="Gazipura 27"/>
    <s v="1km -3km"/>
    <x v="0"/>
    <n v="6000"/>
    <x v="0"/>
    <x v="8"/>
    <x v="1"/>
    <x v="0"/>
  </r>
  <r>
    <s v="ACX338"/>
    <s v="Md. Azizul Islam"/>
    <x v="2"/>
    <x v="0"/>
    <x v="2"/>
    <x v="1"/>
    <d v="2024-07-10T00:00:00"/>
    <d v="2024-01-12T00:00:00"/>
    <x v="0"/>
    <x v="0"/>
    <x v="1"/>
    <s v="Gazipura 27"/>
    <s v="1km -3km"/>
    <x v="0"/>
    <n v="6000"/>
    <x v="0"/>
    <x v="8"/>
    <x v="1"/>
    <x v="0"/>
  </r>
  <r>
    <s v="ACX339"/>
    <s v="Ebrahim Miah"/>
    <x v="5"/>
    <x v="6"/>
    <x v="2"/>
    <x v="1"/>
    <d v="2024-07-10T00:00:00"/>
    <d v="2024-01-12T00:00:00"/>
    <x v="0"/>
    <x v="0"/>
    <x v="2"/>
    <s v="Gazipura 27"/>
    <s v="1km -3km"/>
    <x v="0"/>
    <n v="6000"/>
    <x v="1"/>
    <x v="8"/>
    <x v="1"/>
    <x v="0"/>
  </r>
  <r>
    <s v="ACX340"/>
    <s v="Md. Mirajul Islam"/>
    <x v="3"/>
    <x v="0"/>
    <x v="2"/>
    <x v="1"/>
    <d v="2024-07-10T00:00:00"/>
    <d v="2024-01-12T00:00:00"/>
    <x v="0"/>
    <x v="0"/>
    <x v="1"/>
    <s v="Gazipura 27"/>
    <s v="1km -3km"/>
    <x v="0"/>
    <n v="6000"/>
    <x v="0"/>
    <x v="8"/>
    <x v="1"/>
    <x v="0"/>
  </r>
  <r>
    <s v="ACX341"/>
    <s v="Rabaya Sultana"/>
    <x v="0"/>
    <x v="0"/>
    <x v="2"/>
    <x v="1"/>
    <d v="2024-07-11T00:00:00"/>
    <d v="2024-01-13T00:00:00"/>
    <x v="1"/>
    <x v="0"/>
    <x v="0"/>
    <s v="Gazipura 27"/>
    <s v="1km -3km"/>
    <x v="0"/>
    <n v="6000"/>
    <x v="0"/>
    <x v="8"/>
    <x v="1"/>
    <x v="0"/>
  </r>
  <r>
    <s v="ACX342"/>
    <s v="Sagar Modak"/>
    <x v="0"/>
    <x v="0"/>
    <x v="2"/>
    <x v="1"/>
    <d v="2024-07-11T00:00:00"/>
    <d v="2024-01-13T00:00:00"/>
    <x v="0"/>
    <x v="0"/>
    <x v="1"/>
    <s v="Gazipura 27"/>
    <s v="1km -3km"/>
    <x v="0"/>
    <n v="6000"/>
    <x v="0"/>
    <x v="8"/>
    <x v="1"/>
    <x v="0"/>
  </r>
  <r>
    <s v="ACX343"/>
    <s v="Sudip Modak"/>
    <x v="5"/>
    <x v="0"/>
    <x v="2"/>
    <x v="1"/>
    <d v="2024-07-11T00:00:00"/>
    <d v="2024-01-13T00:00:00"/>
    <x v="0"/>
    <x v="0"/>
    <x v="2"/>
    <s v="Gazipura 27"/>
    <s v="1km -3km"/>
    <x v="0"/>
    <n v="6000"/>
    <x v="0"/>
    <x v="8"/>
    <x v="1"/>
    <x v="0"/>
  </r>
  <r>
    <s v="ACX344"/>
    <s v="Neloy Kumar"/>
    <x v="3"/>
    <x v="0"/>
    <x v="2"/>
    <x v="1"/>
    <d v="2024-07-11T00:00:00"/>
    <d v="2024-01-13T00:00:00"/>
    <x v="0"/>
    <x v="0"/>
    <x v="0"/>
    <s v="Gazipura 27"/>
    <s v="1km -3km"/>
    <x v="0"/>
    <n v="6000"/>
    <x v="0"/>
    <x v="8"/>
    <x v="1"/>
    <x v="0"/>
  </r>
  <r>
    <s v="ACX345"/>
    <s v="Md. Omar Faruk"/>
    <x v="2"/>
    <x v="0"/>
    <x v="2"/>
    <x v="1"/>
    <d v="2024-07-11T00:00:00"/>
    <d v="2024-01-13T00:00:00"/>
    <x v="0"/>
    <x v="0"/>
    <x v="2"/>
    <s v="Gacha"/>
    <s v="3km-5km"/>
    <x v="0"/>
    <n v="6000"/>
    <x v="0"/>
    <x v="8"/>
    <x v="1"/>
    <x v="0"/>
  </r>
  <r>
    <s v="ACX346"/>
    <s v="Md. Tarmin Hosen Rana"/>
    <x v="3"/>
    <x v="0"/>
    <x v="2"/>
    <x v="1"/>
    <d v="2024-07-11T00:00:00"/>
    <d v="2024-01-13T00:00:00"/>
    <x v="0"/>
    <x v="0"/>
    <x v="2"/>
    <s v="Hossen Market"/>
    <s v="1km -3km"/>
    <x v="0"/>
    <n v="6000"/>
    <x v="0"/>
    <x v="8"/>
    <x v="1"/>
    <x v="0"/>
  </r>
  <r>
    <s v="ACX347"/>
    <s v="Md. Sobuz Ahmed Shuvo"/>
    <x v="2"/>
    <x v="0"/>
    <x v="2"/>
    <x v="1"/>
    <d v="2024-07-11T00:00:00"/>
    <d v="2024-01-13T00:00:00"/>
    <x v="0"/>
    <x v="0"/>
    <x v="2"/>
    <s v="Bason"/>
    <s v="5km-10km"/>
    <x v="0"/>
    <n v="6000"/>
    <x v="0"/>
    <x v="8"/>
    <x v="1"/>
    <x v="0"/>
  </r>
  <r>
    <s v="ACX348"/>
    <s v="Suvha Chandra Sarker"/>
    <x v="2"/>
    <x v="0"/>
    <x v="2"/>
    <x v="1"/>
    <d v="2024-07-12T00:00:00"/>
    <d v="2024-01-14T00:00:00"/>
    <x v="0"/>
    <x v="0"/>
    <x v="0"/>
    <s v="Gazipur Sadar"/>
    <s v="10-15km"/>
    <x v="0"/>
    <n v="6000"/>
    <x v="0"/>
    <x v="8"/>
    <x v="1"/>
    <x v="0"/>
  </r>
  <r>
    <s v="ACX349"/>
    <s v="Sima Roy"/>
    <x v="2"/>
    <x v="0"/>
    <x v="2"/>
    <x v="1"/>
    <d v="2024-07-14T00:00:00"/>
    <d v="2024-01-16T00:00:00"/>
    <x v="1"/>
    <x v="1"/>
    <x v="0"/>
    <s v="Gazipura 27"/>
    <s v="1km -3km"/>
    <x v="0"/>
    <n v="6000"/>
    <x v="0"/>
    <x v="8"/>
    <x v="1"/>
    <x v="0"/>
  </r>
  <r>
    <s v="ACX350"/>
    <s v="Rabeya Akter Tanjila"/>
    <x v="2"/>
    <x v="0"/>
    <x v="2"/>
    <x v="1"/>
    <d v="2024-07-15T00:00:00"/>
    <d v="2024-01-17T00:00:00"/>
    <x v="1"/>
    <x v="0"/>
    <x v="3"/>
    <s v="Ershad Nagar"/>
    <s v="1km -3km"/>
    <x v="0"/>
    <n v="6000"/>
    <x v="0"/>
    <x v="8"/>
    <x v="1"/>
    <x v="0"/>
  </r>
  <r>
    <s v="ACX351"/>
    <s v="Md. Shanto Mia"/>
    <x v="5"/>
    <x v="0"/>
    <x v="2"/>
    <x v="1"/>
    <d v="2024-07-15T00:00:00"/>
    <d v="2024-01-17T00:00:00"/>
    <x v="0"/>
    <x v="0"/>
    <x v="0"/>
    <s v="Gazipura 27"/>
    <s v="1km -3km"/>
    <x v="0"/>
    <n v="6000"/>
    <x v="0"/>
    <x v="8"/>
    <x v="1"/>
    <x v="0"/>
  </r>
  <r>
    <s v="ACX352"/>
    <s v="Rakib Kazi"/>
    <x v="3"/>
    <x v="0"/>
    <x v="2"/>
    <x v="1"/>
    <d v="2024-07-15T00:00:00"/>
    <d v="2024-01-17T00:00:00"/>
    <x v="0"/>
    <x v="0"/>
    <x v="5"/>
    <s v="Ershad Nagar"/>
    <s v="1km -3km"/>
    <x v="0"/>
    <n v="6000"/>
    <x v="0"/>
    <x v="8"/>
    <x v="1"/>
    <x v="0"/>
  </r>
  <r>
    <s v="ACX353"/>
    <s v="Aminul Islam Pappu"/>
    <x v="0"/>
    <x v="0"/>
    <x v="2"/>
    <x v="1"/>
    <d v="2024-07-15T00:00:00"/>
    <d v="2024-01-17T00:00:00"/>
    <x v="0"/>
    <x v="0"/>
    <x v="2"/>
    <s v="Ershad Nagar"/>
    <s v="1km -3km"/>
    <x v="0"/>
    <n v="6000"/>
    <x v="0"/>
    <x v="8"/>
    <x v="1"/>
    <x v="0"/>
  </r>
  <r>
    <s v="ACX354"/>
    <s v="Nazmul Akondo"/>
    <x v="0"/>
    <x v="0"/>
    <x v="2"/>
    <x v="1"/>
    <d v="2024-07-15T00:00:00"/>
    <d v="2024-01-17T00:00:00"/>
    <x v="0"/>
    <x v="0"/>
    <x v="1"/>
    <s v="Board Bazar"/>
    <s v="3km-5km"/>
    <x v="0"/>
    <n v="6000"/>
    <x v="0"/>
    <x v="8"/>
    <x v="1"/>
    <x v="0"/>
  </r>
  <r>
    <s v="ACX355"/>
    <s v="Md. Ripon Sheikh"/>
    <x v="5"/>
    <x v="0"/>
    <x v="2"/>
    <x v="1"/>
    <d v="2024-07-18T00:00:00"/>
    <d v="2024-01-20T00:00:00"/>
    <x v="0"/>
    <x v="1"/>
    <x v="4"/>
    <s v="Gazipura 27"/>
    <s v="1km -3km"/>
    <x v="0"/>
    <n v="6000"/>
    <x v="0"/>
    <x v="8"/>
    <x v="1"/>
    <x v="0"/>
  </r>
  <r>
    <s v="ACX356"/>
    <s v="Hamim Zubaed Shuvo"/>
    <x v="3"/>
    <x v="0"/>
    <x v="2"/>
    <x v="1"/>
    <d v="2024-07-19T00:00:00"/>
    <d v="2024-01-21T00:00:00"/>
    <x v="0"/>
    <x v="0"/>
    <x v="2"/>
    <s v="Gazipura 27"/>
    <s v="1km -3km"/>
    <x v="0"/>
    <n v="6000"/>
    <x v="0"/>
    <x v="8"/>
    <x v="1"/>
    <x v="0"/>
  </r>
  <r>
    <s v="ACX357"/>
    <s v="Md. Samiul Islam"/>
    <x v="2"/>
    <x v="0"/>
    <x v="2"/>
    <x v="1"/>
    <d v="2024-07-19T00:00:00"/>
    <d v="2024-01-21T00:00:00"/>
    <x v="0"/>
    <x v="0"/>
    <x v="2"/>
    <s v="Gazipura 27"/>
    <s v="1km -3km"/>
    <x v="0"/>
    <n v="6000"/>
    <x v="0"/>
    <x v="8"/>
    <x v="1"/>
    <x v="0"/>
  </r>
  <r>
    <s v="ACX358"/>
    <s v="Easrat Jahan"/>
    <x v="3"/>
    <x v="0"/>
    <x v="2"/>
    <x v="1"/>
    <d v="2024-07-19T00:00:00"/>
    <d v="2024-01-21T00:00:00"/>
    <x v="1"/>
    <x v="0"/>
    <x v="2"/>
    <s v="Ershad Nagar"/>
    <s v="1km -3km"/>
    <x v="0"/>
    <n v="6000"/>
    <x v="0"/>
    <x v="8"/>
    <x v="1"/>
    <x v="0"/>
  </r>
  <r>
    <s v="ACX359"/>
    <s v="Sadia Akter Nitu"/>
    <x v="0"/>
    <x v="0"/>
    <x v="2"/>
    <x v="1"/>
    <d v="2024-07-21T00:00:00"/>
    <d v="2024-01-23T00:00:00"/>
    <x v="1"/>
    <x v="0"/>
    <x v="5"/>
    <s v="Ershad Nagar"/>
    <s v="1km -3km"/>
    <x v="0"/>
    <n v="6000"/>
    <x v="0"/>
    <x v="8"/>
    <x v="1"/>
    <x v="0"/>
  </r>
  <r>
    <s v="ACX360"/>
    <s v="Isahik Kazi"/>
    <x v="3"/>
    <x v="0"/>
    <x v="2"/>
    <x v="1"/>
    <d v="2024-07-21T00:00:00"/>
    <d v="2024-01-23T00:00:00"/>
    <x v="0"/>
    <x v="0"/>
    <x v="1"/>
    <s v="Gazipura 27"/>
    <s v="1km -3km"/>
    <x v="0"/>
    <n v="6000"/>
    <x v="0"/>
    <x v="8"/>
    <x v="1"/>
    <x v="0"/>
  </r>
  <r>
    <s v="ACX361"/>
    <s v="Md. Asharat Hossain"/>
    <x v="5"/>
    <x v="0"/>
    <x v="2"/>
    <x v="1"/>
    <d v="2024-07-23T00:00:00"/>
    <d v="2024-01-25T00:00:00"/>
    <x v="0"/>
    <x v="0"/>
    <x v="0"/>
    <s v="Gazipura 27"/>
    <s v="1km -3km"/>
    <x v="0"/>
    <n v="6000"/>
    <x v="0"/>
    <x v="8"/>
    <x v="1"/>
    <x v="0"/>
  </r>
  <r>
    <s v="ACX362"/>
    <s v="Mst. Asma Begum"/>
    <x v="2"/>
    <x v="0"/>
    <x v="2"/>
    <x v="1"/>
    <d v="2024-07-23T00:00:00"/>
    <d v="2024-01-25T00:00:00"/>
    <x v="1"/>
    <x v="0"/>
    <x v="0"/>
    <s v="Gazipura 27"/>
    <s v="1km -3km"/>
    <x v="0"/>
    <n v="6000"/>
    <x v="0"/>
    <x v="8"/>
    <x v="1"/>
    <x v="0"/>
  </r>
  <r>
    <s v="ACX363"/>
    <s v="Miss. Rima Khatun"/>
    <x v="0"/>
    <x v="0"/>
    <x v="2"/>
    <x v="1"/>
    <d v="2024-07-26T00:00:00"/>
    <d v="2024-01-28T00:00:00"/>
    <x v="1"/>
    <x v="1"/>
    <x v="3"/>
    <s v="Gazipura 27"/>
    <s v="1km -3km"/>
    <x v="0"/>
    <n v="6000"/>
    <x v="0"/>
    <x v="8"/>
    <x v="1"/>
    <x v="0"/>
  </r>
  <r>
    <s v="ACX364"/>
    <s v="Md. Ariful Islam"/>
    <x v="3"/>
    <x v="0"/>
    <x v="2"/>
    <x v="1"/>
    <d v="2024-07-30T00:00:00"/>
    <d v="2024-02-01T00:00:00"/>
    <x v="0"/>
    <x v="0"/>
    <x v="1"/>
    <s v="Gazipura 27"/>
    <s v="1km -3km"/>
    <x v="0"/>
    <n v="6000"/>
    <x v="0"/>
    <x v="9"/>
    <x v="1"/>
    <x v="0"/>
  </r>
  <r>
    <s v="ACX365"/>
    <s v="Md. Nazmul Hassan"/>
    <x v="3"/>
    <x v="0"/>
    <x v="2"/>
    <x v="1"/>
    <d v="2024-08-01T00:00:00"/>
    <d v="2024-02-03T00:00:00"/>
    <x v="0"/>
    <x v="0"/>
    <x v="2"/>
    <s v="Gazipura 27"/>
    <s v="1km -3km"/>
    <x v="0"/>
    <n v="6000"/>
    <x v="0"/>
    <x v="9"/>
    <x v="1"/>
    <x v="0"/>
  </r>
  <r>
    <s v="ACX366"/>
    <s v="Reshma Rahman"/>
    <x v="0"/>
    <x v="0"/>
    <x v="2"/>
    <x v="1"/>
    <d v="2024-08-02T00:00:00"/>
    <d v="2024-02-04T00:00:00"/>
    <x v="1"/>
    <x v="0"/>
    <x v="1"/>
    <s v="Ershad Nagar"/>
    <s v="1km -3km"/>
    <x v="0"/>
    <n v="6000"/>
    <x v="0"/>
    <x v="9"/>
    <x v="1"/>
    <x v="0"/>
  </r>
  <r>
    <s v="ACX367"/>
    <s v="Tamanna Sultana Mim"/>
    <x v="0"/>
    <x v="0"/>
    <x v="2"/>
    <x v="1"/>
    <d v="2024-08-02T00:00:00"/>
    <d v="2024-02-04T00:00:00"/>
    <x v="1"/>
    <x v="1"/>
    <x v="0"/>
    <s v="Sign board"/>
    <s v="3km-5km"/>
    <x v="0"/>
    <n v="6000"/>
    <x v="0"/>
    <x v="9"/>
    <x v="1"/>
    <x v="0"/>
  </r>
  <r>
    <s v="ACX368"/>
    <s v="Kulsum Akter Mala"/>
    <x v="0"/>
    <x v="0"/>
    <x v="2"/>
    <x v="1"/>
    <d v="2024-08-02T00:00:00"/>
    <d v="2024-02-04T00:00:00"/>
    <x v="1"/>
    <x v="0"/>
    <x v="0"/>
    <s v="Ershad Nagar"/>
    <s v="1km -3km"/>
    <x v="0"/>
    <n v="6000"/>
    <x v="0"/>
    <x v="9"/>
    <x v="1"/>
    <x v="0"/>
  </r>
  <r>
    <s v="ACX369"/>
    <s v="Saruf Ahmed Antar"/>
    <x v="0"/>
    <x v="0"/>
    <x v="2"/>
    <x v="1"/>
    <d v="2024-08-02T00:00:00"/>
    <d v="2024-02-04T00:00:00"/>
    <x v="0"/>
    <x v="0"/>
    <x v="0"/>
    <s v="Ershad Nagar"/>
    <s v="1km -3km"/>
    <x v="0"/>
    <n v="6000"/>
    <x v="0"/>
    <x v="9"/>
    <x v="1"/>
    <x v="0"/>
  </r>
  <r>
    <s v="ACX370"/>
    <s v="Md. Saikhul Islam Siam"/>
    <x v="0"/>
    <x v="0"/>
    <x v="2"/>
    <x v="1"/>
    <d v="2024-08-02T00:00:00"/>
    <d v="2024-02-04T00:00:00"/>
    <x v="0"/>
    <x v="0"/>
    <x v="2"/>
    <s v="Board Bazar"/>
    <s v="3km-5km"/>
    <x v="0"/>
    <n v="6000"/>
    <x v="0"/>
    <x v="9"/>
    <x v="1"/>
    <x v="0"/>
  </r>
  <r>
    <s v="ACX371"/>
    <s v="Bishwajit Mandal"/>
    <x v="0"/>
    <x v="0"/>
    <x v="2"/>
    <x v="1"/>
    <d v="2024-08-02T00:00:00"/>
    <d v="2024-02-04T00:00:00"/>
    <x v="0"/>
    <x v="0"/>
    <x v="1"/>
    <s v="Board Bazar"/>
    <s v="3km-5km"/>
    <x v="0"/>
    <n v="6000"/>
    <x v="0"/>
    <x v="9"/>
    <x v="1"/>
    <x v="0"/>
  </r>
  <r>
    <s v="ACX372"/>
    <s v="Riaj Uddin"/>
    <x v="0"/>
    <x v="0"/>
    <x v="2"/>
    <x v="1"/>
    <d v="2024-08-02T00:00:00"/>
    <d v="2024-02-04T00:00:00"/>
    <x v="0"/>
    <x v="0"/>
    <x v="0"/>
    <s v="Bonmala Road"/>
    <s v="3km-5km"/>
    <x v="0"/>
    <n v="6000"/>
    <x v="0"/>
    <x v="9"/>
    <x v="1"/>
    <x v="0"/>
  </r>
  <r>
    <s v="ACX373"/>
    <s v="Akia Akter"/>
    <x v="0"/>
    <x v="0"/>
    <x v="2"/>
    <x v="1"/>
    <d v="2024-08-02T00:00:00"/>
    <d v="2024-02-04T00:00:00"/>
    <x v="1"/>
    <x v="0"/>
    <x v="1"/>
    <s v="Ershad Nagar"/>
    <s v="1km -3km"/>
    <x v="0"/>
    <n v="6000"/>
    <x v="0"/>
    <x v="9"/>
    <x v="1"/>
    <x v="0"/>
  </r>
  <r>
    <s v="ACX374"/>
    <s v="Md. Sojib Mia"/>
    <x v="0"/>
    <x v="0"/>
    <x v="2"/>
    <x v="1"/>
    <d v="2024-08-02T00:00:00"/>
    <d v="2024-02-04T00:00:00"/>
    <x v="0"/>
    <x v="0"/>
    <x v="0"/>
    <s v="Gazipura 27"/>
    <s v="1km -3km"/>
    <x v="0"/>
    <n v="6000"/>
    <x v="0"/>
    <x v="9"/>
    <x v="1"/>
    <x v="0"/>
  </r>
  <r>
    <s v="ACX375"/>
    <s v="Akash Ahmed"/>
    <x v="0"/>
    <x v="0"/>
    <x v="2"/>
    <x v="1"/>
    <d v="2024-08-02T00:00:00"/>
    <d v="2024-02-04T00:00:00"/>
    <x v="0"/>
    <x v="0"/>
    <x v="2"/>
    <s v="Charagali"/>
    <s v="3km-5km"/>
    <x v="0"/>
    <n v="6000"/>
    <x v="0"/>
    <x v="9"/>
    <x v="1"/>
    <x v="0"/>
  </r>
  <r>
    <s v="ACX376"/>
    <s v="Sahriar Hossain Fahim"/>
    <x v="2"/>
    <x v="0"/>
    <x v="2"/>
    <x v="1"/>
    <d v="2024-08-03T00:00:00"/>
    <d v="2024-02-05T00:00:00"/>
    <x v="0"/>
    <x v="0"/>
    <x v="2"/>
    <s v="Hossen Market"/>
    <s v="1km -3km"/>
    <x v="0"/>
    <n v="6000"/>
    <x v="0"/>
    <x v="9"/>
    <x v="1"/>
    <x v="0"/>
  </r>
  <r>
    <s v="ACX377"/>
    <s v="Sumaiya Akter Mim"/>
    <x v="5"/>
    <x v="0"/>
    <x v="2"/>
    <x v="1"/>
    <d v="2024-08-04T00:00:00"/>
    <d v="2024-02-06T00:00:00"/>
    <x v="1"/>
    <x v="0"/>
    <x v="5"/>
    <s v="Ershad Nagar"/>
    <s v="1km -3km"/>
    <x v="0"/>
    <n v="6000"/>
    <x v="0"/>
    <x v="9"/>
    <x v="1"/>
    <x v="0"/>
  </r>
  <r>
    <s v="ACX378"/>
    <s v="Md. Azizul Hakim Akash"/>
    <x v="2"/>
    <x v="0"/>
    <x v="2"/>
    <x v="1"/>
    <d v="2024-08-04T00:00:00"/>
    <d v="2024-02-06T00:00:00"/>
    <x v="0"/>
    <x v="0"/>
    <x v="3"/>
    <s v="Board Bazar"/>
    <s v="3km-5km"/>
    <x v="0"/>
    <n v="6000"/>
    <x v="0"/>
    <x v="9"/>
    <x v="1"/>
    <x v="0"/>
  </r>
  <r>
    <s v="ACX379"/>
    <s v="Md. Mehedi Hasan"/>
    <x v="3"/>
    <x v="0"/>
    <x v="2"/>
    <x v="1"/>
    <d v="2024-08-04T00:00:00"/>
    <d v="2024-02-06T00:00:00"/>
    <x v="0"/>
    <x v="0"/>
    <x v="1"/>
    <s v="Gazipura 27"/>
    <s v="1km -3km"/>
    <x v="0"/>
    <n v="6000"/>
    <x v="0"/>
    <x v="9"/>
    <x v="1"/>
    <x v="0"/>
  </r>
  <r>
    <s v="ACX380"/>
    <s v="Md. Safayet Hossain Rifat"/>
    <x v="2"/>
    <x v="0"/>
    <x v="2"/>
    <x v="1"/>
    <d v="2024-08-04T00:00:00"/>
    <d v="2024-02-06T00:00:00"/>
    <x v="0"/>
    <x v="0"/>
    <x v="2"/>
    <s v="Hossen Market"/>
    <s v="1km -3km"/>
    <x v="0"/>
    <n v="6000"/>
    <x v="0"/>
    <x v="9"/>
    <x v="1"/>
    <x v="0"/>
  </r>
  <r>
    <s v="ACX381"/>
    <s v="Dipta Halder"/>
    <x v="6"/>
    <x v="0"/>
    <x v="2"/>
    <x v="1"/>
    <d v="2024-08-04T00:00:00"/>
    <d v="2024-02-06T00:00:00"/>
    <x v="0"/>
    <x v="0"/>
    <x v="3"/>
    <s v="Ershad Nagar"/>
    <s v="1km -3km"/>
    <x v="0"/>
    <n v="6000"/>
    <x v="0"/>
    <x v="9"/>
    <x v="1"/>
    <x v="0"/>
  </r>
  <r>
    <s v="ACX382"/>
    <s v="Md. Tarikul Islam Nahid"/>
    <x v="0"/>
    <x v="0"/>
    <x v="2"/>
    <x v="1"/>
    <d v="2024-08-04T00:00:00"/>
    <d v="2024-02-06T00:00:00"/>
    <x v="0"/>
    <x v="0"/>
    <x v="7"/>
    <s v="Gazipur Sadar"/>
    <s v="10-15km"/>
    <x v="0"/>
    <n v="6000"/>
    <x v="0"/>
    <x v="9"/>
    <x v="1"/>
    <x v="0"/>
  </r>
  <r>
    <s v="ACX383"/>
    <s v="Jonaky"/>
    <x v="0"/>
    <x v="0"/>
    <x v="2"/>
    <x v="1"/>
    <d v="2024-08-05T00:00:00"/>
    <d v="2024-02-07T00:00:00"/>
    <x v="1"/>
    <x v="0"/>
    <x v="0"/>
    <s v="Board Bazar"/>
    <s v="3km-5km"/>
    <x v="0"/>
    <n v="6000"/>
    <x v="0"/>
    <x v="9"/>
    <x v="1"/>
    <x v="0"/>
  </r>
  <r>
    <s v="ACX384"/>
    <s v="Nahid Khan"/>
    <x v="2"/>
    <x v="0"/>
    <x v="2"/>
    <x v="1"/>
    <d v="2024-08-05T00:00:00"/>
    <d v="2024-02-07T00:00:00"/>
    <x v="0"/>
    <x v="0"/>
    <x v="4"/>
    <s v="Hossen Market"/>
    <s v="1km -3km"/>
    <x v="0"/>
    <n v="6000"/>
    <x v="0"/>
    <x v="9"/>
    <x v="1"/>
    <x v="0"/>
  </r>
  <r>
    <s v="ACX385"/>
    <s v="Abu Hanif "/>
    <x v="3"/>
    <x v="0"/>
    <x v="2"/>
    <x v="1"/>
    <d v="2024-08-05T00:00:00"/>
    <d v="2024-02-07T00:00:00"/>
    <x v="0"/>
    <x v="0"/>
    <x v="0"/>
    <s v="Gazipura 27"/>
    <s v="1km -3km"/>
    <x v="0"/>
    <n v="6000"/>
    <x v="0"/>
    <x v="9"/>
    <x v="1"/>
    <x v="0"/>
  </r>
  <r>
    <s v="ACX386"/>
    <s v="Md. Jubail Islam"/>
    <x v="2"/>
    <x v="0"/>
    <x v="2"/>
    <x v="1"/>
    <d v="2024-08-05T00:00:00"/>
    <d v="2024-02-07T00:00:00"/>
    <x v="0"/>
    <x v="0"/>
    <x v="0"/>
    <s v="Gazipura 27"/>
    <s v="1km -3km"/>
    <x v="0"/>
    <n v="6000"/>
    <x v="0"/>
    <x v="9"/>
    <x v="1"/>
    <x v="0"/>
  </r>
  <r>
    <s v="ACX387"/>
    <s v="Adithy Roy"/>
    <x v="2"/>
    <x v="0"/>
    <x v="2"/>
    <x v="1"/>
    <d v="2024-08-05T00:00:00"/>
    <d v="2024-02-07T00:00:00"/>
    <x v="1"/>
    <x v="0"/>
    <x v="0"/>
    <s v="Hossen Market"/>
    <s v="1km -3km"/>
    <x v="0"/>
    <n v="6000"/>
    <x v="0"/>
    <x v="9"/>
    <x v="1"/>
    <x v="0"/>
  </r>
  <r>
    <s v="ACX388"/>
    <s v="Md. Nayon Mia"/>
    <x v="0"/>
    <x v="0"/>
    <x v="2"/>
    <x v="1"/>
    <d v="2024-08-05T00:00:00"/>
    <d v="2024-02-07T00:00:00"/>
    <x v="0"/>
    <x v="0"/>
    <x v="1"/>
    <s v="Gazipura 27"/>
    <s v="1km -3km"/>
    <x v="0"/>
    <n v="6000"/>
    <x v="0"/>
    <x v="9"/>
    <x v="1"/>
    <x v="0"/>
  </r>
  <r>
    <s v="ACX389"/>
    <s v="Nur Rahman"/>
    <x v="0"/>
    <x v="0"/>
    <x v="2"/>
    <x v="1"/>
    <d v="2024-08-05T00:00:00"/>
    <d v="2024-02-07T00:00:00"/>
    <x v="0"/>
    <x v="0"/>
    <x v="2"/>
    <s v="Gazipur Sadar"/>
    <s v="10-15km"/>
    <x v="0"/>
    <n v="6000"/>
    <x v="0"/>
    <x v="9"/>
    <x v="1"/>
    <x v="0"/>
  </r>
  <r>
    <s v="ACX390"/>
    <s v="Md. Jobber Hossain"/>
    <x v="0"/>
    <x v="0"/>
    <x v="2"/>
    <x v="1"/>
    <d v="2024-08-05T00:00:00"/>
    <d v="2024-02-07T00:00:00"/>
    <x v="0"/>
    <x v="0"/>
    <x v="0"/>
    <s v="Boro Bari"/>
    <s v="3km-5km"/>
    <x v="0"/>
    <n v="6000"/>
    <x v="0"/>
    <x v="9"/>
    <x v="1"/>
    <x v="0"/>
  </r>
  <r>
    <s v="ACX391"/>
    <s v="Mst. Rokeya Roni"/>
    <x v="2"/>
    <x v="0"/>
    <x v="2"/>
    <x v="1"/>
    <d v="2024-08-06T00:00:00"/>
    <d v="2024-02-08T00:00:00"/>
    <x v="1"/>
    <x v="0"/>
    <x v="2"/>
    <s v="Gazipura 27"/>
    <s v="1km -3km"/>
    <x v="0"/>
    <n v="6000"/>
    <x v="0"/>
    <x v="9"/>
    <x v="1"/>
    <x v="0"/>
  </r>
  <r>
    <s v="ACX392"/>
    <s v="Mahadul Islam"/>
    <x v="5"/>
    <x v="0"/>
    <x v="2"/>
    <x v="1"/>
    <d v="2024-08-06T00:00:00"/>
    <d v="2024-02-08T00:00:00"/>
    <x v="0"/>
    <x v="1"/>
    <x v="1"/>
    <s v="Gazipura 27"/>
    <s v="1km -3km"/>
    <x v="0"/>
    <n v="6000"/>
    <x v="0"/>
    <x v="9"/>
    <x v="1"/>
    <x v="0"/>
  </r>
  <r>
    <s v="ACX393"/>
    <s v="Lamya Islam Tanjila"/>
    <x v="2"/>
    <x v="0"/>
    <x v="2"/>
    <x v="1"/>
    <d v="2024-08-06T00:00:00"/>
    <d v="2024-02-08T00:00:00"/>
    <x v="1"/>
    <x v="0"/>
    <x v="2"/>
    <s v="Gazipura 27"/>
    <s v="1km -3km"/>
    <x v="0"/>
    <n v="6000"/>
    <x v="0"/>
    <x v="9"/>
    <x v="1"/>
    <x v="0"/>
  </r>
  <r>
    <s v="ACX394"/>
    <s v="Afsana Akter"/>
    <x v="3"/>
    <x v="0"/>
    <x v="2"/>
    <x v="1"/>
    <d v="2024-08-08T00:00:00"/>
    <d v="2024-02-10T00:00:00"/>
    <x v="1"/>
    <x v="0"/>
    <x v="0"/>
    <s v="Gacha"/>
    <s v="3km-5km"/>
    <x v="0"/>
    <n v="6000"/>
    <x v="0"/>
    <x v="9"/>
    <x v="1"/>
    <x v="0"/>
  </r>
  <r>
    <s v="ACX395"/>
    <s v="Md. Mosarof Hosen"/>
    <x v="2"/>
    <x v="0"/>
    <x v="2"/>
    <x v="1"/>
    <d v="2024-08-08T00:00:00"/>
    <d v="2024-02-10T00:00:00"/>
    <x v="0"/>
    <x v="0"/>
    <x v="1"/>
    <s v="Board Bazar"/>
    <s v="3km-5km"/>
    <x v="0"/>
    <n v="6000"/>
    <x v="0"/>
    <x v="9"/>
    <x v="1"/>
    <x v="0"/>
  </r>
  <r>
    <s v="ACX396"/>
    <s v="Rofikul"/>
    <x v="6"/>
    <x v="4"/>
    <x v="1"/>
    <x v="1"/>
    <d v="2024-08-09T00:00:00"/>
    <d v="2024-02-11T00:00:00"/>
    <x v="0"/>
    <x v="1"/>
    <x v="2"/>
    <s v="Bashundhara"/>
    <s v="10-15km"/>
    <x v="0"/>
    <n v="6000"/>
    <x v="1"/>
    <x v="9"/>
    <x v="1"/>
    <x v="0"/>
  </r>
  <r>
    <s v="ACX397"/>
    <s v="Md. Rayhan Sarker"/>
    <x v="0"/>
    <x v="0"/>
    <x v="2"/>
    <x v="1"/>
    <d v="2024-08-10T00:00:00"/>
    <d v="2024-02-12T00:00:00"/>
    <x v="0"/>
    <x v="0"/>
    <x v="3"/>
    <s v="Boro Bari"/>
    <s v="3km-5km"/>
    <x v="0"/>
    <n v="6000"/>
    <x v="0"/>
    <x v="9"/>
    <x v="1"/>
    <x v="0"/>
  </r>
  <r>
    <s v="ACX398"/>
    <s v="Suma Akter"/>
    <x v="0"/>
    <x v="0"/>
    <x v="2"/>
    <x v="1"/>
    <d v="2024-08-11T00:00:00"/>
    <d v="2024-02-13T00:00:00"/>
    <x v="1"/>
    <x v="0"/>
    <x v="8"/>
    <s v="Board Bazar"/>
    <s v="3km-5km"/>
    <x v="0"/>
    <n v="6000"/>
    <x v="0"/>
    <x v="9"/>
    <x v="1"/>
    <x v="0"/>
  </r>
  <r>
    <s v="ACX399"/>
    <s v="Md. Shakil Hossain"/>
    <x v="2"/>
    <x v="0"/>
    <x v="2"/>
    <x v="1"/>
    <d v="2024-08-13T00:00:00"/>
    <d v="2024-02-15T00:00:00"/>
    <x v="0"/>
    <x v="0"/>
    <x v="2"/>
    <s v="Gacha"/>
    <s v="3km-5km"/>
    <x v="0"/>
    <n v="6000"/>
    <x v="0"/>
    <x v="9"/>
    <x v="1"/>
    <x v="0"/>
  </r>
  <r>
    <s v="ACX400"/>
    <s v="Mst. Somaiya Khanom Sumi"/>
    <x v="3"/>
    <x v="0"/>
    <x v="2"/>
    <x v="1"/>
    <d v="2024-08-13T00:00:00"/>
    <d v="2024-02-15T00:00:00"/>
    <x v="1"/>
    <x v="0"/>
    <x v="2"/>
    <s v="Gazipura 27"/>
    <s v="1km -3km"/>
    <x v="0"/>
    <n v="6000"/>
    <x v="0"/>
    <x v="9"/>
    <x v="1"/>
    <x v="0"/>
  </r>
  <r>
    <s v="ACX401"/>
    <s v="Tamim Banu"/>
    <x v="2"/>
    <x v="0"/>
    <x v="2"/>
    <x v="1"/>
    <d v="2024-08-13T00:00:00"/>
    <d v="2024-02-15T00:00:00"/>
    <x v="1"/>
    <x v="0"/>
    <x v="1"/>
    <s v="Gazipur Sadar"/>
    <s v="10-15km"/>
    <x v="0"/>
    <n v="6000"/>
    <x v="0"/>
    <x v="9"/>
    <x v="1"/>
    <x v="0"/>
  </r>
  <r>
    <s v="ACX402"/>
    <s v="Eshita Akter"/>
    <x v="2"/>
    <x v="0"/>
    <x v="2"/>
    <x v="1"/>
    <d v="2024-08-13T00:00:00"/>
    <d v="2024-02-15T00:00:00"/>
    <x v="1"/>
    <x v="0"/>
    <x v="0"/>
    <s v="Gazipura 27"/>
    <s v="1km -3km"/>
    <x v="0"/>
    <n v="30000"/>
    <x v="0"/>
    <x v="9"/>
    <x v="1"/>
    <x v="0"/>
  </r>
  <r>
    <s v="ACX403"/>
    <s v="Mst. Labony Akter"/>
    <x v="0"/>
    <x v="0"/>
    <x v="2"/>
    <x v="1"/>
    <d v="2024-08-13T00:00:00"/>
    <d v="2024-02-15T00:00:00"/>
    <x v="1"/>
    <x v="0"/>
    <x v="1"/>
    <s v="Gacha"/>
    <s v="3km-5km"/>
    <x v="0"/>
    <n v="30000"/>
    <x v="0"/>
    <x v="9"/>
    <x v="1"/>
    <x v="0"/>
  </r>
  <r>
    <s v="ACX404"/>
    <s v="Fareya Sultana"/>
    <x v="3"/>
    <x v="0"/>
    <x v="2"/>
    <x v="1"/>
    <d v="2024-08-13T00:00:00"/>
    <d v="2024-02-15T00:00:00"/>
    <x v="1"/>
    <x v="0"/>
    <x v="0"/>
    <s v="Gazipura 27"/>
    <s v="1km -3km"/>
    <x v="0"/>
    <n v="30000"/>
    <x v="0"/>
    <x v="9"/>
    <x v="1"/>
    <x v="0"/>
  </r>
  <r>
    <s v="ACX405"/>
    <s v="Md. Shahajalal"/>
    <x v="3"/>
    <x v="0"/>
    <x v="2"/>
    <x v="1"/>
    <d v="2024-08-13T00:00:00"/>
    <d v="2024-02-15T00:00:00"/>
    <x v="0"/>
    <x v="0"/>
    <x v="0"/>
    <s v="Gazipura 27"/>
    <s v="1km -3km"/>
    <x v="0"/>
    <n v="30000"/>
    <x v="0"/>
    <x v="9"/>
    <x v="1"/>
    <x v="0"/>
  </r>
  <r>
    <s v="ACX406"/>
    <s v="Md. Alamin Hossain"/>
    <x v="2"/>
    <x v="0"/>
    <x v="2"/>
    <x v="1"/>
    <d v="2024-08-15T00:00:00"/>
    <d v="2024-02-17T00:00:00"/>
    <x v="0"/>
    <x v="0"/>
    <x v="1"/>
    <s v="Gazipura 27"/>
    <s v="1km -3km"/>
    <x v="0"/>
    <n v="30000"/>
    <x v="0"/>
    <x v="9"/>
    <x v="1"/>
    <x v="0"/>
  </r>
  <r>
    <s v="ACX407"/>
    <s v="Abdullah Al Mamun"/>
    <x v="2"/>
    <x v="0"/>
    <x v="2"/>
    <x v="1"/>
    <d v="2024-08-31T00:00:00"/>
    <d v="2024-03-04T00:00:00"/>
    <x v="0"/>
    <x v="0"/>
    <x v="2"/>
    <s v="Gazipura 27"/>
    <s v="1km -3km"/>
    <x v="0"/>
    <n v="30000"/>
    <x v="0"/>
    <x v="0"/>
    <x v="1"/>
    <x v="0"/>
  </r>
  <r>
    <s v="ACX408"/>
    <s v="Md. Abdullah"/>
    <x v="1"/>
    <x v="9"/>
    <x v="0"/>
    <x v="1"/>
    <d v="2024-10-14T00:00:00"/>
    <d v="2024-04-17T00:00:00"/>
    <x v="0"/>
    <x v="0"/>
    <x v="0"/>
    <s v="Tongi Bazar"/>
    <s v="5-10km"/>
    <x v="0"/>
    <n v="30000"/>
    <x v="1"/>
    <x v="10"/>
    <x v="1"/>
    <x v="1"/>
  </r>
  <r>
    <s v="ACX409"/>
    <s v="Md. Robin"/>
    <x v="3"/>
    <x v="3"/>
    <x v="1"/>
    <x v="1"/>
    <d v="2024-10-29T00:00:00"/>
    <d v="2024-05-02T00:00:00"/>
    <x v="0"/>
    <x v="1"/>
    <x v="2"/>
    <s v="Kaliakoir"/>
    <s v="20km-30km"/>
    <x v="0"/>
    <n v="30000"/>
    <x v="1"/>
    <x v="1"/>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59D13DA-23DF-44A0-AD5D-27B40A8A07DF}" name="PivotTable23"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8:A49" firstHeaderRow="1" firstDataRow="1" firstDataCol="0"/>
  <pivotFields count="19">
    <pivotField dataField="1" showAll="0"/>
    <pivotField showAll="0"/>
    <pivotField showAll="0">
      <items count="8">
        <item x="1"/>
        <item x="6"/>
        <item x="4"/>
        <item x="0"/>
        <item x="5"/>
        <item x="2"/>
        <item x="3"/>
        <item t="default"/>
      </items>
    </pivotField>
    <pivotField showAll="0">
      <items count="11">
        <item x="6"/>
        <item x="5"/>
        <item x="8"/>
        <item x="2"/>
        <item x="7"/>
        <item x="0"/>
        <item x="1"/>
        <item x="3"/>
        <item x="4"/>
        <item x="9"/>
        <item t="default"/>
      </items>
    </pivotField>
    <pivotField showAll="0">
      <items count="4">
        <item x="2"/>
        <item x="1"/>
        <item x="0"/>
        <item t="default"/>
      </items>
    </pivotField>
    <pivotField showAll="0">
      <items count="3">
        <item x="0"/>
        <item x="1"/>
        <item t="default"/>
      </items>
    </pivotField>
    <pivotField numFmtId="22" showAll="0"/>
    <pivotField numFmtId="14" showAll="0"/>
    <pivotField showAll="0">
      <items count="3">
        <item x="1"/>
        <item x="0"/>
        <item t="default"/>
      </items>
    </pivotField>
    <pivotField showAll="0"/>
    <pivotField showAll="0"/>
    <pivotField showAll="0"/>
    <pivotField showAll="0"/>
    <pivotField showAll="0">
      <items count="4">
        <item x="0"/>
        <item x="2"/>
        <item x="1"/>
        <item t="default"/>
      </items>
    </pivotField>
    <pivotField showAll="0"/>
    <pivotField showAll="0"/>
    <pivotField showAll="0"/>
    <pivotField showAll="0"/>
    <pivotField showAll="0"/>
  </pivotFields>
  <rowItems count="1">
    <i/>
  </rowItems>
  <colItems count="1">
    <i/>
  </colItems>
  <dataFields count="1">
    <dataField name="Count of ID" fld="0" subtotal="count" baseField="0" baseItem="0"/>
  </dataFields>
  <formats count="1">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82A13E2-794A-433A-82EF-31C989AA88E4}" name="PivotTable22"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5:A46" firstHeaderRow="1" firstDataRow="1" firstDataCol="0"/>
  <pivotFields count="19">
    <pivotField showAll="0"/>
    <pivotField showAll="0"/>
    <pivotField showAll="0">
      <items count="8">
        <item x="1"/>
        <item x="6"/>
        <item x="4"/>
        <item x="0"/>
        <item x="5"/>
        <item x="2"/>
        <item x="3"/>
        <item t="default"/>
      </items>
    </pivotField>
    <pivotField showAll="0">
      <items count="11">
        <item x="6"/>
        <item x="5"/>
        <item x="8"/>
        <item x="2"/>
        <item x="7"/>
        <item x="0"/>
        <item x="1"/>
        <item x="3"/>
        <item x="4"/>
        <item x="9"/>
        <item t="default"/>
      </items>
    </pivotField>
    <pivotField showAll="0">
      <items count="4">
        <item x="2"/>
        <item x="1"/>
        <item x="0"/>
        <item t="default"/>
      </items>
    </pivotField>
    <pivotField showAll="0">
      <items count="3">
        <item x="0"/>
        <item x="1"/>
        <item t="default"/>
      </items>
    </pivotField>
    <pivotField numFmtId="22" showAll="0"/>
    <pivotField numFmtId="14" showAll="0"/>
    <pivotField showAll="0">
      <items count="3">
        <item x="1"/>
        <item x="0"/>
        <item t="default"/>
      </items>
    </pivotField>
    <pivotField showAll="0"/>
    <pivotField showAll="0"/>
    <pivotField showAll="0"/>
    <pivotField showAll="0"/>
    <pivotField showAll="0">
      <items count="4">
        <item x="0"/>
        <item x="2"/>
        <item x="1"/>
        <item t="default"/>
      </items>
    </pivotField>
    <pivotField dataField="1" showAll="0"/>
    <pivotField showAll="0"/>
    <pivotField showAll="0"/>
    <pivotField showAll="0"/>
    <pivotField showAll="0"/>
  </pivotFields>
  <rowItems count="1">
    <i/>
  </rowItems>
  <colItems count="1">
    <i/>
  </colItems>
  <dataFields count="1">
    <dataField name="Average of Salary" fld="14" subtotal="average" baseField="0" baseItem="0" numFmtId="165"/>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636CA5-44B4-4B1B-A12B-38B4E7D3EC7C}" name="PivotTable21"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Z4:AA16" firstHeaderRow="1" firstDataRow="1" firstDataCol="1"/>
  <pivotFields count="19">
    <pivotField dataField="1" showAll="0"/>
    <pivotField showAll="0"/>
    <pivotField showAll="0">
      <items count="8">
        <item x="1"/>
        <item x="6"/>
        <item x="4"/>
        <item x="0"/>
        <item x="5"/>
        <item x="2"/>
        <item x="3"/>
        <item t="default"/>
      </items>
    </pivotField>
    <pivotField showAll="0"/>
    <pivotField showAll="0"/>
    <pivotField showAll="0"/>
    <pivotField numFmtId="22" showAll="0"/>
    <pivotField numFmtId="14" showAll="0"/>
    <pivotField showAll="0">
      <items count="3">
        <item x="1"/>
        <item x="0"/>
        <item t="default"/>
      </items>
    </pivotField>
    <pivotField showAll="0"/>
    <pivotField showAll="0"/>
    <pivotField showAll="0"/>
    <pivotField showAll="0"/>
    <pivotField showAll="0">
      <items count="4">
        <item x="0"/>
        <item x="2"/>
        <item x="1"/>
        <item t="default"/>
      </items>
    </pivotField>
    <pivotField showAll="0"/>
    <pivotField showAll="0"/>
    <pivotField axis="axisRow" showAll="0">
      <items count="12">
        <item x="8"/>
        <item x="9"/>
        <item x="0"/>
        <item x="10"/>
        <item x="1"/>
        <item x="2"/>
        <item x="3"/>
        <item x="4"/>
        <item x="5"/>
        <item x="6"/>
        <item x="7"/>
        <item t="default"/>
      </items>
    </pivotField>
    <pivotField showAll="0"/>
    <pivotField showAll="0"/>
  </pivotFields>
  <rowFields count="1">
    <field x="16"/>
  </rowFields>
  <rowItems count="12">
    <i>
      <x/>
    </i>
    <i>
      <x v="1"/>
    </i>
    <i>
      <x v="2"/>
    </i>
    <i>
      <x v="3"/>
    </i>
    <i>
      <x v="4"/>
    </i>
    <i>
      <x v="5"/>
    </i>
    <i>
      <x v="6"/>
    </i>
    <i>
      <x v="7"/>
    </i>
    <i>
      <x v="8"/>
    </i>
    <i>
      <x v="9"/>
    </i>
    <i>
      <x v="10"/>
    </i>
    <i t="grand">
      <x/>
    </i>
  </rowItems>
  <colItems count="1">
    <i/>
  </colItems>
  <dataFields count="1">
    <dataField name="TotalEmployees" fld="0" subtotal="count" baseField="0" baseItem="0"/>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6E57A04-170C-433C-ADBD-8B179197ADF5}" name="PivotTable20"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I65:J68" firstHeaderRow="1" firstDataRow="1" firstDataCol="1"/>
  <pivotFields count="19">
    <pivotField dataField="1" showAll="0"/>
    <pivotField showAll="0"/>
    <pivotField showAll="0">
      <items count="8">
        <item x="1"/>
        <item x="6"/>
        <item x="4"/>
        <item x="0"/>
        <item x="5"/>
        <item x="2"/>
        <item x="3"/>
        <item t="default"/>
      </items>
    </pivotField>
    <pivotField showAll="0"/>
    <pivotField showAll="0">
      <items count="4">
        <item x="2"/>
        <item x="1"/>
        <item x="0"/>
        <item t="default"/>
      </items>
    </pivotField>
    <pivotField showAll="0">
      <items count="3">
        <item x="0"/>
        <item x="1"/>
        <item t="default"/>
      </items>
    </pivotField>
    <pivotField numFmtId="22" showAll="0"/>
    <pivotField numFmtId="14" showAll="0"/>
    <pivotField axis="axisRow" showAll="0">
      <items count="3">
        <item x="1"/>
        <item x="0"/>
        <item t="default"/>
      </items>
    </pivotField>
    <pivotField showAll="0"/>
    <pivotField showAll="0"/>
    <pivotField showAll="0"/>
    <pivotField showAll="0"/>
    <pivotField showAll="0">
      <items count="4">
        <item x="0"/>
        <item x="2"/>
        <item x="1"/>
        <item t="default"/>
      </items>
    </pivotField>
    <pivotField showAll="0"/>
    <pivotField showAll="0">
      <items count="3">
        <item x="0"/>
        <item x="1"/>
        <item t="default"/>
      </items>
    </pivotField>
    <pivotField showAll="0"/>
    <pivotField showAll="0">
      <items count="3">
        <item x="0"/>
        <item x="1"/>
        <item t="default"/>
      </items>
    </pivotField>
    <pivotField showAll="0">
      <items count="5">
        <item x="0"/>
        <item x="1"/>
        <item x="2"/>
        <item x="3"/>
        <item t="default"/>
      </items>
    </pivotField>
  </pivotFields>
  <rowFields count="1">
    <field x="8"/>
  </rowFields>
  <rowItems count="3">
    <i>
      <x/>
    </i>
    <i>
      <x v="1"/>
    </i>
    <i t="grand">
      <x/>
    </i>
  </rowItems>
  <colItems count="1">
    <i/>
  </colItems>
  <dataFields count="1">
    <dataField name="Count" fld="0" subtotal="count" baseField="0" baseItem="0"/>
  </dataFields>
  <formats count="1">
    <format dxfId="1">
      <pivotArea outline="0" collapsedLevelsAreSubtotals="1" fieldPosition="0"/>
    </format>
  </formats>
  <chartFormats count="3">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8" count="1" selected="0">
            <x v="0"/>
          </reference>
        </references>
      </pivotArea>
    </chartFormat>
    <chartFormat chart="10" format="6">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306794C-0FA1-46E0-8D91-8AE2332EF5D7}" name="PivotTable19"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30:P51" firstHeaderRow="1" firstDataRow="1" firstDataCol="1"/>
  <pivotFields count="19">
    <pivotField dataField="1" showAll="0"/>
    <pivotField showAll="0"/>
    <pivotField showAll="0">
      <items count="8">
        <item x="1"/>
        <item x="6"/>
        <item x="4"/>
        <item x="0"/>
        <item x="5"/>
        <item x="2"/>
        <item x="3"/>
        <item t="default"/>
      </items>
    </pivotField>
    <pivotField showAll="0"/>
    <pivotField showAll="0"/>
    <pivotField showAll="0"/>
    <pivotField numFmtId="22" showAll="0"/>
    <pivotField numFmtId="14" showAll="0"/>
    <pivotField showAll="0">
      <items count="3">
        <item x="1"/>
        <item x="0"/>
        <item t="default"/>
      </items>
    </pivotField>
    <pivotField axis="axisRow" showAll="0">
      <items count="3">
        <item x="1"/>
        <item x="0"/>
        <item t="default"/>
      </items>
    </pivotField>
    <pivotField axis="axisRow" showAll="0">
      <items count="10">
        <item x="6"/>
        <item x="1"/>
        <item x="8"/>
        <item x="3"/>
        <item x="7"/>
        <item x="0"/>
        <item x="5"/>
        <item x="4"/>
        <item x="2"/>
        <item t="default"/>
      </items>
    </pivotField>
    <pivotField showAll="0"/>
    <pivotField showAll="0"/>
    <pivotField showAll="0">
      <items count="4">
        <item x="0"/>
        <item x="2"/>
        <item x="1"/>
        <item t="default"/>
      </items>
    </pivotField>
    <pivotField showAll="0"/>
    <pivotField showAll="0">
      <items count="3">
        <item x="0"/>
        <item x="1"/>
        <item t="default"/>
      </items>
    </pivotField>
    <pivotField showAll="0"/>
    <pivotField showAll="0"/>
    <pivotField showAll="0"/>
  </pivotFields>
  <rowFields count="2">
    <field x="9"/>
    <field x="10"/>
  </rowFields>
  <rowItems count="21">
    <i>
      <x/>
    </i>
    <i r="1">
      <x/>
    </i>
    <i r="1">
      <x v="1"/>
    </i>
    <i r="1">
      <x v="2"/>
    </i>
    <i r="1">
      <x v="3"/>
    </i>
    <i r="1">
      <x v="4"/>
    </i>
    <i r="1">
      <x v="5"/>
    </i>
    <i r="1">
      <x v="6"/>
    </i>
    <i r="1">
      <x v="7"/>
    </i>
    <i r="1">
      <x v="8"/>
    </i>
    <i>
      <x v="1"/>
    </i>
    <i r="1">
      <x/>
    </i>
    <i r="1">
      <x v="1"/>
    </i>
    <i r="1">
      <x v="2"/>
    </i>
    <i r="1">
      <x v="3"/>
    </i>
    <i r="1">
      <x v="4"/>
    </i>
    <i r="1">
      <x v="5"/>
    </i>
    <i r="1">
      <x v="6"/>
    </i>
    <i r="1">
      <x v="7"/>
    </i>
    <i r="1">
      <x v="8"/>
    </i>
    <i t="grand">
      <x/>
    </i>
  </rowItems>
  <colItems count="1">
    <i/>
  </colItems>
  <dataFields count="1">
    <dataField name="Count of ID" fld="0" subtotal="count" baseField="0" baseItem="0"/>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A8D2F22-98E7-454E-B104-608AE2303907}" name="PivotTable16"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51:K55" firstHeaderRow="0" firstDataRow="1" firstDataCol="1"/>
  <pivotFields count="19">
    <pivotField dataField="1" showAll="0"/>
    <pivotField showAll="0"/>
    <pivotField showAll="0">
      <items count="8">
        <item x="1"/>
        <item x="6"/>
        <item x="4"/>
        <item x="0"/>
        <item x="5"/>
        <item x="2"/>
        <item x="3"/>
        <item t="default"/>
      </items>
    </pivotField>
    <pivotField showAll="0"/>
    <pivotField showAll="0">
      <items count="4">
        <item x="2"/>
        <item x="1"/>
        <item x="0"/>
        <item t="default"/>
      </items>
    </pivotField>
    <pivotField showAll="0">
      <items count="3">
        <item x="0"/>
        <item x="1"/>
        <item t="default"/>
      </items>
    </pivotField>
    <pivotField numFmtId="22" showAll="0"/>
    <pivotField numFmtId="14" showAll="0"/>
    <pivotField showAll="0">
      <items count="3">
        <item x="1"/>
        <item x="0"/>
        <item t="default"/>
      </items>
    </pivotField>
    <pivotField showAll="0"/>
    <pivotField showAll="0"/>
    <pivotField showAll="0"/>
    <pivotField showAll="0"/>
    <pivotField axis="axisRow" showAll="0">
      <items count="4">
        <item x="0"/>
        <item x="2"/>
        <item x="1"/>
        <item t="default"/>
      </items>
    </pivotField>
    <pivotField showAll="0"/>
    <pivotField showAll="0">
      <items count="3">
        <item x="0"/>
        <item x="1"/>
        <item t="default"/>
      </items>
    </pivotField>
    <pivotField showAll="0"/>
    <pivotField showAll="0">
      <items count="3">
        <item x="0"/>
        <item x="1"/>
        <item t="default"/>
      </items>
    </pivotField>
    <pivotField showAll="0">
      <items count="5">
        <item x="0"/>
        <item x="1"/>
        <item x="2"/>
        <item x="3"/>
        <item t="default"/>
      </items>
    </pivotField>
  </pivotFields>
  <rowFields count="1">
    <field x="13"/>
  </rowFields>
  <rowItems count="4">
    <i>
      <x/>
    </i>
    <i>
      <x v="1"/>
    </i>
    <i>
      <x v="2"/>
    </i>
    <i t="grand">
      <x/>
    </i>
  </rowItems>
  <colFields count="1">
    <field x="-2"/>
  </colFields>
  <colItems count="2">
    <i>
      <x/>
    </i>
    <i i="1">
      <x v="1"/>
    </i>
  </colItems>
  <dataFields count="2">
    <dataField name="Count of ID" fld="0" subtotal="count" showDataAs="percentOfTotal" baseField="13" baseItem="0" numFmtId="10"/>
    <dataField name="Status" fld="0" subtotal="count" baseField="13" baseItem="0"/>
  </dataFields>
  <formats count="2">
    <format dxfId="7">
      <pivotArea outline="0" collapsedLevelsAreSubtotals="1" fieldPosition="0"/>
    </format>
    <format dxfId="8">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1B8DEEA-1A5D-4287-9ACB-BFEF249D3674}" name="PivotTable18"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5:P13" firstHeaderRow="1" firstDataRow="1" firstDataCol="1"/>
  <pivotFields count="19">
    <pivotField dataField="1" showAll="0"/>
    <pivotField showAll="0"/>
    <pivotField axis="axisRow" showAll="0">
      <items count="8">
        <item sd="0" x="1"/>
        <item sd="0" x="6"/>
        <item sd="0" x="4"/>
        <item sd="0" x="0"/>
        <item sd="0" x="5"/>
        <item sd="0" x="2"/>
        <item sd="0" x="3"/>
        <item t="default"/>
      </items>
    </pivotField>
    <pivotField showAll="0"/>
    <pivotField showAll="0"/>
    <pivotField showAll="0">
      <items count="3">
        <item x="0"/>
        <item x="1"/>
        <item t="default"/>
      </items>
    </pivotField>
    <pivotField numFmtId="22" showAll="0"/>
    <pivotField numFmtId="14" showAll="0"/>
    <pivotField axis="axisRow" showAll="0">
      <items count="3">
        <item x="1"/>
        <item x="0"/>
        <item t="default"/>
      </items>
    </pivotField>
    <pivotField showAll="0"/>
    <pivotField showAll="0"/>
    <pivotField showAll="0"/>
    <pivotField showAll="0"/>
    <pivotField showAll="0">
      <items count="4">
        <item x="0"/>
        <item x="2"/>
        <item x="1"/>
        <item t="default"/>
      </items>
    </pivotField>
    <pivotField showAll="0"/>
    <pivotField showAll="0"/>
    <pivotField showAll="0"/>
    <pivotField showAll="0"/>
    <pivotField showAll="0"/>
  </pivotFields>
  <rowFields count="2">
    <field x="2"/>
    <field x="8"/>
  </rowFields>
  <rowItems count="8">
    <i>
      <x/>
    </i>
    <i>
      <x v="1"/>
    </i>
    <i>
      <x v="2"/>
    </i>
    <i>
      <x v="3"/>
    </i>
    <i>
      <x v="4"/>
    </i>
    <i>
      <x v="5"/>
    </i>
    <i>
      <x v="6"/>
    </i>
    <i t="grand">
      <x/>
    </i>
  </rowItems>
  <colItems count="1">
    <i/>
  </colItems>
  <dataFields count="1">
    <dataField name="Count of ID" fld="0" subtotal="count" showDataAs="percentOfTotal" baseField="8" baseItem="0" numFmtId="10"/>
  </dataFields>
  <formats count="3">
    <format dxfId="3">
      <pivotArea outline="0" collapsedLevelsAreSubtotals="1" fieldPosition="0"/>
    </format>
    <format dxfId="4">
      <pivotArea outline="0" collapsedLevelsAreSubtotals="1" fieldPosition="0"/>
    </format>
    <format dxfId="5">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6E394AD-E30A-4560-91B4-5F98991B10AA}" name="PivotTable10"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3:B34" firstHeaderRow="1" firstDataRow="1" firstDataCol="1"/>
  <pivotFields count="19">
    <pivotField dataField="1" showAll="0"/>
    <pivotField showAll="0"/>
    <pivotField showAll="0">
      <items count="8">
        <item x="1"/>
        <item x="6"/>
        <item x="4"/>
        <item x="0"/>
        <item x="5"/>
        <item x="2"/>
        <item x="3"/>
        <item t="default"/>
      </items>
    </pivotField>
    <pivotField axis="axisRow" showAll="0">
      <items count="11">
        <item x="6"/>
        <item x="5"/>
        <item x="8"/>
        <item x="2"/>
        <item x="7"/>
        <item x="0"/>
        <item x="1"/>
        <item x="3"/>
        <item x="4"/>
        <item x="9"/>
        <item t="default"/>
      </items>
    </pivotField>
    <pivotField showAll="0"/>
    <pivotField showAll="0"/>
    <pivotField numFmtId="22" showAll="0"/>
    <pivotField numFmtId="14" showAll="0"/>
    <pivotField showAll="0">
      <items count="3">
        <item x="1"/>
        <item x="0"/>
        <item t="default"/>
      </items>
    </pivotField>
    <pivotField showAll="0"/>
    <pivotField showAll="0"/>
    <pivotField showAll="0"/>
    <pivotField showAll="0"/>
    <pivotField showAll="0">
      <items count="4">
        <item x="0"/>
        <item x="2"/>
        <item x="1"/>
        <item t="default"/>
      </items>
    </pivotField>
    <pivotField showAll="0"/>
    <pivotField showAll="0"/>
    <pivotField showAll="0"/>
    <pivotField showAll="0"/>
    <pivotField showAll="0"/>
  </pivotFields>
  <rowFields count="1">
    <field x="3"/>
  </rowFields>
  <rowItems count="11">
    <i>
      <x/>
    </i>
    <i>
      <x v="1"/>
    </i>
    <i>
      <x v="2"/>
    </i>
    <i>
      <x v="3"/>
    </i>
    <i>
      <x v="4"/>
    </i>
    <i>
      <x v="5"/>
    </i>
    <i>
      <x v="6"/>
    </i>
    <i>
      <x v="7"/>
    </i>
    <i>
      <x v="8"/>
    </i>
    <i>
      <x v="9"/>
    </i>
    <i t="grand">
      <x/>
    </i>
  </rowItems>
  <colItems count="1">
    <i/>
  </colItems>
  <dataFields count="1">
    <dataField name="TotalEmployee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CF62689-B766-4FE8-8BE7-18BED23281F3}" name="PivotTable1"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19">
    <pivotField dataField="1" showAll="0"/>
    <pivotField showAll="0"/>
    <pivotField showAll="0">
      <items count="8">
        <item x="1"/>
        <item x="6"/>
        <item x="4"/>
        <item x="0"/>
        <item x="5"/>
        <item x="2"/>
        <item x="3"/>
        <item t="default"/>
      </items>
    </pivotField>
    <pivotField showAll="0"/>
    <pivotField showAll="0"/>
    <pivotField showAll="0"/>
    <pivotField numFmtId="22" showAll="0"/>
    <pivotField numFmtId="14" showAll="0"/>
    <pivotField showAll="0">
      <items count="3">
        <item x="1"/>
        <item x="0"/>
        <item t="default"/>
      </items>
    </pivotField>
    <pivotField showAll="0"/>
    <pivotField showAll="0"/>
    <pivotField showAll="0"/>
    <pivotField showAll="0"/>
    <pivotField showAll="0">
      <items count="4">
        <item x="0"/>
        <item x="2"/>
        <item x="1"/>
        <item t="default"/>
      </items>
    </pivotField>
    <pivotField showAll="0"/>
    <pivotField showAll="0"/>
    <pivotField showAll="0"/>
    <pivotField showAll="0"/>
    <pivotField showAll="0"/>
  </pivotFields>
  <rowItems count="1">
    <i/>
  </rowItems>
  <colItems count="1">
    <i/>
  </colItems>
  <dataFields count="1">
    <dataField name="TotalEmployee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8EC56B2-3842-446C-BF17-ECF8897E7D57}" name="PivotTable15"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8:J47" firstHeaderRow="1" firstDataRow="1" firstDataCol="1"/>
  <pivotFields count="19">
    <pivotField dataField="1" showAll="0"/>
    <pivotField showAll="0"/>
    <pivotField showAll="0">
      <items count="8">
        <item x="1"/>
        <item x="6"/>
        <item x="4"/>
        <item x="0"/>
        <item x="5"/>
        <item x="2"/>
        <item x="3"/>
        <item t="default"/>
      </items>
    </pivotField>
    <pivotField showAll="0"/>
    <pivotField showAll="0">
      <items count="4">
        <item x="2"/>
        <item x="1"/>
        <item x="0"/>
        <item t="default"/>
      </items>
    </pivotField>
    <pivotField showAll="0">
      <items count="3">
        <item x="0"/>
        <item x="1"/>
        <item t="default"/>
      </items>
    </pivotField>
    <pivotField numFmtId="22" showAll="0"/>
    <pivotField numFmtId="14" showAll="0"/>
    <pivotField showAll="0">
      <items count="3">
        <item x="1"/>
        <item x="0"/>
        <item t="default"/>
      </items>
    </pivotField>
    <pivotField showAll="0"/>
    <pivotField showAll="0"/>
    <pivotField showAll="0"/>
    <pivotField showAll="0"/>
    <pivotField showAll="0">
      <items count="4">
        <item x="0"/>
        <item x="2"/>
        <item x="1"/>
        <item t="default"/>
      </items>
    </pivotField>
    <pivotField showAll="0"/>
    <pivotField showAll="0">
      <items count="3">
        <item x="0"/>
        <item x="1"/>
        <item t="default"/>
      </items>
    </pivotField>
    <pivotField showAll="0"/>
    <pivotField axis="axisRow" showAll="0">
      <items count="3">
        <item x="0"/>
        <item x="1"/>
        <item t="default"/>
      </items>
    </pivotField>
    <pivotField axis="axisRow" showAll="0">
      <items count="5">
        <item x="0"/>
        <item x="1"/>
        <item x="2"/>
        <item x="3"/>
        <item t="default"/>
      </items>
    </pivotField>
  </pivotFields>
  <rowFields count="2">
    <field x="17"/>
    <field x="18"/>
  </rowFields>
  <rowItems count="9">
    <i>
      <x/>
    </i>
    <i r="1">
      <x/>
    </i>
    <i r="1">
      <x v="1"/>
    </i>
    <i r="1">
      <x v="2"/>
    </i>
    <i r="1">
      <x v="3"/>
    </i>
    <i>
      <x v="1"/>
    </i>
    <i r="1">
      <x/>
    </i>
    <i r="1">
      <x v="1"/>
    </i>
    <i t="grand">
      <x/>
    </i>
  </rowItems>
  <colItems count="1">
    <i/>
  </colItems>
  <dataFields count="1">
    <dataField name="EmpJoined" fld="0" subtotal="count" baseField="17" baseItem="0"/>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8361959-BC7E-4A5D-9105-619CB8CB2CAA}" name="PivotTable17"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59:J62" firstHeaderRow="1" firstDataRow="1" firstDataCol="1"/>
  <pivotFields count="19">
    <pivotField dataField="1" showAll="0"/>
    <pivotField showAll="0"/>
    <pivotField showAll="0">
      <items count="8">
        <item x="1"/>
        <item x="6"/>
        <item x="4"/>
        <item x="0"/>
        <item x="5"/>
        <item x="2"/>
        <item x="3"/>
        <item t="default"/>
      </items>
    </pivotField>
    <pivotField showAll="0"/>
    <pivotField showAll="0">
      <items count="4">
        <item x="2"/>
        <item x="1"/>
        <item x="0"/>
        <item t="default"/>
      </items>
    </pivotField>
    <pivotField axis="axisRow" showAll="0">
      <items count="3">
        <item x="0"/>
        <item x="1"/>
        <item t="default"/>
      </items>
    </pivotField>
    <pivotField numFmtId="22" showAll="0"/>
    <pivotField numFmtId="14" showAll="0"/>
    <pivotField showAll="0">
      <items count="3">
        <item x="1"/>
        <item x="0"/>
        <item t="default"/>
      </items>
    </pivotField>
    <pivotField showAll="0"/>
    <pivotField showAll="0"/>
    <pivotField showAll="0"/>
    <pivotField showAll="0"/>
    <pivotField showAll="0">
      <items count="4">
        <item x="0"/>
        <item x="2"/>
        <item x="1"/>
        <item t="default"/>
      </items>
    </pivotField>
    <pivotField showAll="0"/>
    <pivotField showAll="0">
      <items count="3">
        <item x="0"/>
        <item x="1"/>
        <item t="default"/>
      </items>
    </pivotField>
    <pivotField showAll="0"/>
    <pivotField showAll="0">
      <items count="3">
        <item x="0"/>
        <item x="1"/>
        <item t="default"/>
      </items>
    </pivotField>
    <pivotField showAll="0">
      <items count="5">
        <item x="0"/>
        <item x="1"/>
        <item x="2"/>
        <item x="3"/>
        <item t="default"/>
      </items>
    </pivotField>
  </pivotFields>
  <rowFields count="1">
    <field x="5"/>
  </rowFields>
  <rowItems count="3">
    <i>
      <x/>
    </i>
    <i>
      <x v="1"/>
    </i>
    <i t="grand">
      <x/>
    </i>
  </rowItems>
  <colItems count="1">
    <i/>
  </colItems>
  <dataFields count="1">
    <dataField name="Count of ID" fld="0" subtotal="count" baseField="0" baseItem="0"/>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441236C-4F31-4527-B03D-5D871608CF7C}" name="PivotTable12"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I10:J18" firstHeaderRow="1" firstDataRow="1" firstDataCol="1"/>
  <pivotFields count="19">
    <pivotField showAll="0"/>
    <pivotField showAll="0"/>
    <pivotField axis="axisRow" showAll="0">
      <items count="8">
        <item x="1"/>
        <item x="6"/>
        <item x="4"/>
        <item x="0"/>
        <item x="5"/>
        <item x="2"/>
        <item x="3"/>
        <item t="default"/>
      </items>
    </pivotField>
    <pivotField showAll="0"/>
    <pivotField showAll="0"/>
    <pivotField showAll="0"/>
    <pivotField numFmtId="22" showAll="0"/>
    <pivotField numFmtId="14" showAll="0"/>
    <pivotField showAll="0">
      <items count="3">
        <item x="1"/>
        <item x="0"/>
        <item t="default"/>
      </items>
    </pivotField>
    <pivotField showAll="0"/>
    <pivotField showAll="0"/>
    <pivotField showAll="0"/>
    <pivotField showAll="0"/>
    <pivotField showAll="0">
      <items count="4">
        <item x="0"/>
        <item x="2"/>
        <item x="1"/>
        <item t="default"/>
      </items>
    </pivotField>
    <pivotField dataField="1" showAll="0"/>
    <pivotField showAll="0"/>
    <pivotField showAll="0"/>
    <pivotField showAll="0"/>
    <pivotField showAll="0"/>
  </pivotFields>
  <rowFields count="1">
    <field x="2"/>
  </rowFields>
  <rowItems count="8">
    <i>
      <x/>
    </i>
    <i>
      <x v="1"/>
    </i>
    <i>
      <x v="2"/>
    </i>
    <i>
      <x v="3"/>
    </i>
    <i>
      <x v="4"/>
    </i>
    <i>
      <x v="5"/>
    </i>
    <i>
      <x v="6"/>
    </i>
    <i t="grand">
      <x/>
    </i>
  </rowItems>
  <colItems count="1">
    <i/>
  </colItems>
  <dataFields count="1">
    <dataField name="Average of Salary" fld="14" subtotal="average" baseField="2" baseItem="0" numFmtId="165"/>
  </dataFields>
  <formats count="1">
    <format dxfId="12">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8339C17-0D16-455A-9535-9EEF4AF96288}" name="PivotTable13"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3:J26" firstHeaderRow="1" firstDataRow="1" firstDataCol="1"/>
  <pivotFields count="19">
    <pivotField showAll="0"/>
    <pivotField showAll="0"/>
    <pivotField showAll="0">
      <items count="8">
        <item x="1"/>
        <item x="6"/>
        <item x="4"/>
        <item x="0"/>
        <item x="5"/>
        <item x="2"/>
        <item x="3"/>
        <item t="default"/>
      </items>
    </pivotField>
    <pivotField showAll="0"/>
    <pivotField showAll="0"/>
    <pivotField showAll="0"/>
    <pivotField numFmtId="22" showAll="0"/>
    <pivotField numFmtId="14" showAll="0"/>
    <pivotField showAll="0">
      <items count="3">
        <item x="1"/>
        <item x="0"/>
        <item t="default"/>
      </items>
    </pivotField>
    <pivotField showAll="0"/>
    <pivotField showAll="0"/>
    <pivotField showAll="0"/>
    <pivotField showAll="0"/>
    <pivotField showAll="0">
      <items count="4">
        <item x="0"/>
        <item x="2"/>
        <item x="1"/>
        <item t="default"/>
      </items>
    </pivotField>
    <pivotField dataField="1" showAll="0"/>
    <pivotField axis="axisRow" showAll="0">
      <items count="3">
        <item x="0"/>
        <item x="1"/>
        <item t="default"/>
      </items>
    </pivotField>
    <pivotField showAll="0"/>
    <pivotField showAll="0"/>
    <pivotField showAll="0"/>
  </pivotFields>
  <rowFields count="1">
    <field x="15"/>
  </rowFields>
  <rowItems count="3">
    <i>
      <x/>
    </i>
    <i>
      <x v="1"/>
    </i>
    <i t="grand">
      <x/>
    </i>
  </rowItems>
  <colItems count="1">
    <i/>
  </colItems>
  <dataFields count="1">
    <dataField name="Average of Salary" fld="14" subtotal="average" baseField="2" baseItem="0" numFmtId="165"/>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9E9202D-5D1E-400F-A653-576C128405D7}" name="PivotTable9"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1:B19" firstHeaderRow="1" firstDataRow="1" firstDataCol="1"/>
  <pivotFields count="19">
    <pivotField dataField="1" showAll="0"/>
    <pivotField showAll="0"/>
    <pivotField axis="axisRow" showAll="0">
      <items count="8">
        <item x="1"/>
        <item x="6"/>
        <item x="4"/>
        <item x="0"/>
        <item x="5"/>
        <item x="2"/>
        <item x="3"/>
        <item t="default"/>
      </items>
    </pivotField>
    <pivotField showAll="0">
      <items count="11">
        <item x="6"/>
        <item x="5"/>
        <item x="8"/>
        <item x="2"/>
        <item x="7"/>
        <item x="0"/>
        <item x="1"/>
        <item x="3"/>
        <item x="4"/>
        <item x="9"/>
        <item t="default"/>
      </items>
    </pivotField>
    <pivotField showAll="0">
      <items count="4">
        <item x="2"/>
        <item x="1"/>
        <item x="0"/>
        <item t="default"/>
      </items>
    </pivotField>
    <pivotField showAll="0"/>
    <pivotField numFmtId="22" showAll="0"/>
    <pivotField numFmtId="14" showAll="0"/>
    <pivotField showAll="0">
      <items count="3">
        <item x="1"/>
        <item x="0"/>
        <item t="default"/>
      </items>
    </pivotField>
    <pivotField showAll="0"/>
    <pivotField showAll="0"/>
    <pivotField showAll="0"/>
    <pivotField showAll="0"/>
    <pivotField showAll="0">
      <items count="4">
        <item x="0"/>
        <item x="2"/>
        <item x="1"/>
        <item t="default"/>
      </items>
    </pivotField>
    <pivotField showAll="0"/>
    <pivotField showAll="0"/>
    <pivotField showAll="0"/>
    <pivotField showAll="0"/>
    <pivotField showAll="0"/>
  </pivotFields>
  <rowFields count="1">
    <field x="2"/>
  </rowFields>
  <rowItems count="8">
    <i>
      <x/>
    </i>
    <i>
      <x v="1"/>
    </i>
    <i>
      <x v="2"/>
    </i>
    <i>
      <x v="3"/>
    </i>
    <i>
      <x v="4"/>
    </i>
    <i>
      <x v="5"/>
    </i>
    <i>
      <x v="6"/>
    </i>
    <i t="grand">
      <x/>
    </i>
  </rowItems>
  <colItems count="1">
    <i/>
  </colItems>
  <dataFields count="1">
    <dataField name="TotalEmployees" fld="0" subtotal="count"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012D306-C8A0-42DC-ABA6-060E5DCD6158}" name="PivotTable11"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8:B42" firstHeaderRow="1" firstDataRow="1" firstDataCol="1"/>
  <pivotFields count="19">
    <pivotField dataField="1" showAll="0"/>
    <pivotField showAll="0"/>
    <pivotField showAll="0">
      <items count="8">
        <item x="1"/>
        <item x="6"/>
        <item x="4"/>
        <item x="0"/>
        <item x="5"/>
        <item x="2"/>
        <item x="3"/>
        <item t="default"/>
      </items>
    </pivotField>
    <pivotField showAll="0">
      <items count="11">
        <item x="6"/>
        <item x="5"/>
        <item x="8"/>
        <item x="2"/>
        <item x="7"/>
        <item x="0"/>
        <item x="1"/>
        <item x="3"/>
        <item x="4"/>
        <item x="9"/>
        <item t="default"/>
      </items>
    </pivotField>
    <pivotField axis="axisRow" showAll="0">
      <items count="4">
        <item x="2"/>
        <item x="1"/>
        <item x="0"/>
        <item t="default"/>
      </items>
    </pivotField>
    <pivotField showAll="0">
      <items count="3">
        <item x="0"/>
        <item x="1"/>
        <item t="default"/>
      </items>
    </pivotField>
    <pivotField numFmtId="22" showAll="0"/>
    <pivotField numFmtId="14" showAll="0"/>
    <pivotField showAll="0">
      <items count="3">
        <item x="1"/>
        <item x="0"/>
        <item t="default"/>
      </items>
    </pivotField>
    <pivotField showAll="0"/>
    <pivotField showAll="0"/>
    <pivotField showAll="0"/>
    <pivotField showAll="0"/>
    <pivotField showAll="0">
      <items count="4">
        <item x="0"/>
        <item x="2"/>
        <item x="1"/>
        <item t="default"/>
      </items>
    </pivotField>
    <pivotField showAll="0"/>
    <pivotField showAll="0"/>
    <pivotField showAll="0"/>
    <pivotField showAll="0"/>
    <pivotField showAll="0"/>
  </pivotFields>
  <rowFields count="1">
    <field x="4"/>
  </rowFields>
  <rowItems count="4">
    <i>
      <x/>
    </i>
    <i>
      <x v="1"/>
    </i>
    <i>
      <x v="2"/>
    </i>
    <i t="grand">
      <x/>
    </i>
  </rowItems>
  <colItems count="1">
    <i/>
  </colItems>
  <dataFields count="1">
    <dataField name="TotalEmployees" fld="0"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3D9A129-E011-4C29-9537-64F693FD9117}" name="PivotTable14"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0:J33" firstHeaderRow="1" firstDataRow="1" firstDataCol="1"/>
  <pivotFields count="19">
    <pivotField showAll="0"/>
    <pivotField showAll="0"/>
    <pivotField showAll="0">
      <items count="8">
        <item x="1"/>
        <item x="6"/>
        <item x="4"/>
        <item x="0"/>
        <item x="5"/>
        <item x="2"/>
        <item x="3"/>
        <item t="default"/>
      </items>
    </pivotField>
    <pivotField showAll="0"/>
    <pivotField showAll="0">
      <items count="4">
        <item x="2"/>
        <item x="1"/>
        <item x="0"/>
        <item t="default"/>
      </items>
    </pivotField>
    <pivotField axis="axisRow" showAll="0">
      <items count="3">
        <item x="0"/>
        <item x="1"/>
        <item t="default"/>
      </items>
    </pivotField>
    <pivotField numFmtId="22" showAll="0"/>
    <pivotField numFmtId="14" showAll="0"/>
    <pivotField showAll="0">
      <items count="3">
        <item x="1"/>
        <item x="0"/>
        <item t="default"/>
      </items>
    </pivotField>
    <pivotField showAll="0"/>
    <pivotField showAll="0"/>
    <pivotField showAll="0"/>
    <pivotField showAll="0"/>
    <pivotField showAll="0">
      <items count="4">
        <item x="0"/>
        <item x="2"/>
        <item x="1"/>
        <item t="default"/>
      </items>
    </pivotField>
    <pivotField dataField="1" showAll="0"/>
    <pivotField showAll="0">
      <items count="3">
        <item x="0"/>
        <item x="1"/>
        <item t="default"/>
      </items>
    </pivotField>
    <pivotField showAll="0"/>
    <pivotField showAll="0"/>
    <pivotField showAll="0"/>
  </pivotFields>
  <rowFields count="1">
    <field x="5"/>
  </rowFields>
  <rowItems count="3">
    <i>
      <x/>
    </i>
    <i>
      <x v="1"/>
    </i>
    <i t="grand">
      <x/>
    </i>
  </rowItems>
  <colItems count="1">
    <i/>
  </colItems>
  <dataFields count="1">
    <dataField name="Average of Salary" fld="14" subtotal="average" baseField="2" baseItem="0" numFmtId="165"/>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72823CA-E917-4E31-B40D-B8DC237767E4}" autoFormatId="16" applyNumberFormats="0" applyBorderFormats="0" applyFontFormats="0" applyPatternFormats="0" applyAlignmentFormats="0" applyWidthHeightFormats="0">
  <queryTableRefresh nextId="20">
    <queryTableFields count="19">
      <queryTableField id="1" name="ID" tableColumnId="1"/>
      <queryTableField id="2" name="Name" tableColumnId="2"/>
      <queryTableField id="3" name="Department" tableColumnId="3"/>
      <queryTableField id="4" name="Designation" tableColumnId="4"/>
      <queryTableField id="5" name="Employee Category" tableColumnId="5"/>
      <queryTableField id="6" name="Employee Type" tableColumnId="6"/>
      <queryTableField id="7" name="Date of confirmation" tableColumnId="7"/>
      <queryTableField id="8" name="Date of Join" tableColumnId="8"/>
      <queryTableField id="9" name="Gender" tableColumnId="9"/>
      <queryTableField id="10" name="Marital Status" tableColumnId="10"/>
      <queryTableField id="11" name="Blood Group" tableColumnId="11"/>
      <queryTableField id="12" name="Present Address" tableColumnId="12"/>
      <queryTableField id="13" name="Distance" tableColumnId="13"/>
      <queryTableField id="14" name="Working status" tableColumnId="14"/>
      <queryTableField id="15" name="Salary" tableColumnId="15"/>
      <queryTableField id="16" name="Role Group" tableColumnId="16"/>
      <queryTableField id="17" name="Month Name" tableColumnId="17"/>
      <queryTableField id="18" name="Year" tableColumnId="18"/>
      <queryTableField id="19" name="Quarter" tableColumnId="1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7E230608-E823-4FC4-B496-FB842B7B63F2}" sourceName="Department">
  <pivotTables>
    <pivotTable tabId="4" name="PivotTable9"/>
    <pivotTable tabId="4" name="PivotTable1"/>
    <pivotTable tabId="4" name="PivotTable10"/>
    <pivotTable tabId="4" name="PivotTable11"/>
    <pivotTable tabId="4" name="PivotTable12"/>
    <pivotTable tabId="4" name="PivotTable13"/>
    <pivotTable tabId="4" name="PivotTable21"/>
    <pivotTable tabId="4" name="PivotTable22"/>
    <pivotTable tabId="4" name="PivotTable23"/>
  </pivotTables>
  <data>
    <tabular pivotCacheId="323593239">
      <items count="7">
        <i x="1" s="1"/>
        <i x="6" s="1"/>
        <i x="4" s="1"/>
        <i x="0" s="1"/>
        <i x="5"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B851E7B-5F3F-4D91-A527-CF234528E06D}" sourceName="Gender">
  <pivotTables>
    <pivotTable tabId="4" name="PivotTable9"/>
    <pivotTable tabId="4" name="PivotTable1"/>
    <pivotTable tabId="4" name="PivotTable10"/>
    <pivotTable tabId="4" name="PivotTable11"/>
    <pivotTable tabId="4" name="PivotTable12"/>
    <pivotTable tabId="4" name="PivotTable13"/>
    <pivotTable tabId="4" name="PivotTable14"/>
    <pivotTable tabId="4" name="PivotTable15"/>
    <pivotTable tabId="4" name="PivotTable16"/>
    <pivotTable tabId="4" name="PivotTable17"/>
    <pivotTable tabId="4" name="PivotTable18"/>
    <pivotTable tabId="4" name="PivotTable19"/>
    <pivotTable tabId="4" name="PivotTable20"/>
    <pivotTable tabId="4" name="PivotTable21"/>
    <pivotTable tabId="4" name="PivotTable22"/>
    <pivotTable tabId="4" name="PivotTable23"/>
  </pivotTables>
  <data>
    <tabular pivotCacheId="323593239">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_Category" xr10:uid="{4FBDC6CB-3E1F-4126-A749-869AA9CC2E58}" sourceName="Employee Category">
  <pivotTables>
    <pivotTable tabId="4" name="PivotTable9"/>
  </pivotTables>
  <data>
    <tabular pivotCacheId="323593239">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ing_status1" xr10:uid="{76868062-18A2-4B66-87DE-35D035C7B804}" sourceName="Working status">
  <pivotTables>
    <pivotTable tabId="4" name="PivotTable9"/>
    <pivotTable tabId="4" name="PivotTable1"/>
    <pivotTable tabId="4" name="PivotTable10"/>
    <pivotTable tabId="4" name="PivotTable11"/>
    <pivotTable tabId="4" name="PivotTable12"/>
    <pivotTable tabId="4" name="PivotTable13"/>
    <pivotTable tabId="4" name="PivotTable14"/>
    <pivotTable tabId="4" name="PivotTable15"/>
    <pivotTable tabId="4" name="PivotTable16"/>
    <pivotTable tabId="4" name="PivotTable17"/>
    <pivotTable tabId="4" name="PivotTable18"/>
    <pivotTable tabId="4" name="PivotTable19"/>
    <pivotTable tabId="4" name="PivotTable20"/>
    <pivotTable tabId="4" name="PivotTable21"/>
    <pivotTable tabId="4" name="PivotTable22"/>
    <pivotTable tabId="4" name="PivotTable23"/>
  </pivotTables>
  <data>
    <tabular pivotCacheId="32359323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DFEE14F9-C87E-4EA3-9C9A-63ADCB06B33E}" cache="Slicer_Department" caption="Department" style="SlicerStyleDark3" rowHeight="241300"/>
  <slicer name="Gender" xr10:uid="{86877601-ECC1-4D59-BA8E-3954BB48AF0F}" cache="Slicer_Gender" caption="Gender" style="SlicerStyleDark3" rowHeight="241300"/>
  <slicer name="Employee Category 1" xr10:uid="{CA082903-2899-4EA0-8AA5-47719C580039}" cache="Slicer_Employee_Category" caption="Employee Category" style="SlicerStyleDark3" rowHeight="241300"/>
  <slicer name="Working status 1" xr10:uid="{68EAC878-73DA-4D38-8A08-EB70D21CFE35}" cache="Slicer_Working_status1" caption="Working status" style="SlicerStyleDark3"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DA2EC32-F29B-4C59-B6D0-D74337E23801}" name="Data" displayName="Data" ref="A1:S412" tableType="queryTable" totalsRowShown="0">
  <autoFilter ref="A1:S412" xr:uid="{8DA2EC32-F29B-4C59-B6D0-D74337E23801}"/>
  <tableColumns count="19">
    <tableColumn id="1" xr3:uid="{E40D127A-5692-4265-A6B2-0B168236F820}" uniqueName="1" name="ID" queryTableFieldId="1" dataDxfId="47"/>
    <tableColumn id="2" xr3:uid="{B55F5075-8751-476C-AA9F-49DF1029E5DC}" uniqueName="2" name="Name" queryTableFieldId="2" dataDxfId="46"/>
    <tableColumn id="3" xr3:uid="{BBAEE52B-B27D-48E1-8993-0DCD06B68033}" uniqueName="3" name="Department" queryTableFieldId="3" dataDxfId="45"/>
    <tableColumn id="4" xr3:uid="{40BA2859-FD92-481D-9BC1-103388875778}" uniqueName="4" name="Designation" queryTableFieldId="4" dataDxfId="44"/>
    <tableColumn id="5" xr3:uid="{474A5C02-F8A4-450A-8595-456CE9867A9A}" uniqueName="5" name="Employee Category" queryTableFieldId="5" dataDxfId="43"/>
    <tableColumn id="6" xr3:uid="{1289ED39-F474-4D04-92F5-7CF3CE55F705}" uniqueName="6" name="Employee Type" queryTableFieldId="6" dataDxfId="42"/>
    <tableColumn id="7" xr3:uid="{6A2ED86C-CF80-47E7-9F40-3791E0B758CB}" uniqueName="7" name="Date of confirmation" queryTableFieldId="7" dataDxfId="41"/>
    <tableColumn id="8" xr3:uid="{029B7235-D755-44D2-BAAA-C700910BAE7A}" uniqueName="8" name="Date of Join" queryTableFieldId="8" dataDxfId="40"/>
    <tableColumn id="9" xr3:uid="{1E3A54F1-2B29-4324-BF77-548079384993}" uniqueName="9" name="Gender" queryTableFieldId="9" dataDxfId="39"/>
    <tableColumn id="10" xr3:uid="{544BC032-C388-4473-87FB-C3C0CF52B165}" uniqueName="10" name="Marital Status" queryTableFieldId="10" dataDxfId="38"/>
    <tableColumn id="11" xr3:uid="{B0D72631-16ED-464A-8C90-C0694C6D47B2}" uniqueName="11" name="Blood Group" queryTableFieldId="11" dataDxfId="37"/>
    <tableColumn id="12" xr3:uid="{6FC5E679-7178-4F07-9B79-8AB5A9671C02}" uniqueName="12" name="Present Address" queryTableFieldId="12" dataDxfId="36"/>
    <tableColumn id="13" xr3:uid="{E32840E3-16B0-450B-821B-B5C2BD20BD52}" uniqueName="13" name="Distance" queryTableFieldId="13" dataDxfId="35"/>
    <tableColumn id="14" xr3:uid="{9D0F9421-039E-45CB-96AD-CA52DDE35BF4}" uniqueName="14" name="Working status" queryTableFieldId="14" dataDxfId="34"/>
    <tableColumn id="15" xr3:uid="{89FA9B2B-898A-4AD4-8EDE-2DE48709E217}" uniqueName="15" name="Salary" queryTableFieldId="15"/>
    <tableColumn id="16" xr3:uid="{24904DB1-7C0D-4F16-9880-6603D616E048}" uniqueName="16" name="Role Group" queryTableFieldId="16" dataDxfId="33"/>
    <tableColumn id="17" xr3:uid="{0C97ACBD-CAB3-4284-BED0-55A5AD429203}" uniqueName="17" name="Month Name" queryTableFieldId="17" dataDxfId="32"/>
    <tableColumn id="18" xr3:uid="{2651D8B3-049C-4E9F-9EEF-C741CBA39A5C}" uniqueName="18" name="Year" queryTableFieldId="18"/>
    <tableColumn id="19" xr3:uid="{6CFC5ED7-75D5-4129-944B-F5B995AD1C1F}" uniqueName="19" name="Quarter" queryTableFieldId="1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B832EC9-B6B3-43C5-88BE-D7B957DBBB69}" name="Table1" displayName="Table1" ref="A1:P412" totalsRowShown="0" headerRowDxfId="31" dataDxfId="30">
  <autoFilter ref="A1:P412" xr:uid="{DB832EC9-B6B3-43C5-88BE-D7B957DBBB69}"/>
  <tableColumns count="16">
    <tableColumn id="1" xr3:uid="{79134C94-D637-466F-A2FE-7AA91B17C31A}" name="ID" dataDxfId="29"/>
    <tableColumn id="2" xr3:uid="{E15EB73F-0899-49C6-9B95-4D53F4D34BFA}" name="Name" dataDxfId="28"/>
    <tableColumn id="3" xr3:uid="{D00AA1D9-16B7-44A7-A4D3-C0F42375B714}" name="Department" dataDxfId="27"/>
    <tableColumn id="4" xr3:uid="{96EBD9ED-9215-4333-8820-A6CD4C7D6BBA}" name="Designation" dataDxfId="26"/>
    <tableColumn id="5" xr3:uid="{7DB8911C-1F75-4454-8461-63519E0EEE95}" name="Employee Category" dataDxfId="25"/>
    <tableColumn id="6" xr3:uid="{923FE429-8B98-4B5F-A894-1D1E2FC8C8CF}" name="Employee Type" dataDxfId="24"/>
    <tableColumn id="7" xr3:uid="{64E73A04-FA91-462E-8FE1-15F9E4B44D39}" name="Date of confirmation" dataDxfId="23"/>
    <tableColumn id="8" xr3:uid="{0E61A3DA-4E6A-4E2C-9D01-C158CF9BE41C}" name="Date of Join" dataDxfId="22"/>
    <tableColumn id="9" xr3:uid="{04148B29-223B-48BE-9E34-52D7B22105C5}" name="Gender" dataDxfId="21"/>
    <tableColumn id="10" xr3:uid="{B7CD1EE6-F101-4BCE-B618-CB08927C8F36}" name="Marital Status" dataDxfId="20"/>
    <tableColumn id="11" xr3:uid="{45A7A0E9-40EF-48F0-B7ED-2CD58E606924}" name="Blood Group" dataDxfId="19"/>
    <tableColumn id="12" xr3:uid="{FEEF80A4-AFB3-484A-BEEA-63C0E8182D37}" name="Present Address" dataDxfId="18"/>
    <tableColumn id="13" xr3:uid="{E628EC03-B192-4756-9B4F-F91351EF2482}" name="Distance" dataDxfId="17"/>
    <tableColumn id="14" xr3:uid="{82405E8E-1690-4198-B052-021D20CD1309}" name="Working status" dataDxfId="16"/>
    <tableColumn id="15" xr3:uid="{5038E23C-9B9E-4F3D-8FCE-76FAA6D38787}" name="Salary" dataDxfId="15"/>
    <tableColumn id="16" xr3:uid="{A070D583-BFCB-47AA-ADFC-8ACD08A6E753}" name="Role Group" dataDxfId="14">
      <calculatedColumnFormula>IF(Table1[[#This Row],[Designation]]="Line Operator","Line Operator", "Other")</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84A45-D9B1-412B-A5E9-F6669045E6AF}">
  <dimension ref="A1:AQ40"/>
  <sheetViews>
    <sheetView showGridLines="0" tabSelected="1" workbookViewId="0">
      <selection activeCell="P12" sqref="P12"/>
    </sheetView>
  </sheetViews>
  <sheetFormatPr defaultRowHeight="15" x14ac:dyDescent="0.25"/>
  <cols>
    <col min="1" max="1" width="1.28515625" style="26" customWidth="1"/>
    <col min="2" max="11" width="12.28515625" style="26" customWidth="1"/>
    <col min="12" max="12" width="13.5703125" style="26" customWidth="1"/>
    <col min="13" max="13" width="1" style="23" customWidth="1"/>
    <col min="14" max="39" width="9.140625" style="28"/>
    <col min="40" max="42" width="9.140625" style="25"/>
    <col min="43" max="43" width="9.140625" style="24"/>
    <col min="44" max="16384" width="9.140625" style="23"/>
  </cols>
  <sheetData>
    <row r="1" spans="1:1" x14ac:dyDescent="0.25">
      <c r="A1" s="27"/>
    </row>
    <row r="2" spans="1:1" x14ac:dyDescent="0.25">
      <c r="A2" s="27"/>
    </row>
    <row r="3" spans="1:1" x14ac:dyDescent="0.25">
      <c r="A3" s="27"/>
    </row>
    <row r="4" spans="1:1" x14ac:dyDescent="0.25">
      <c r="A4" s="27"/>
    </row>
    <row r="5" spans="1:1" x14ac:dyDescent="0.25">
      <c r="A5" s="27"/>
    </row>
    <row r="6" spans="1:1" x14ac:dyDescent="0.25">
      <c r="A6" s="27"/>
    </row>
    <row r="7" spans="1:1" x14ac:dyDescent="0.25">
      <c r="A7" s="27"/>
    </row>
    <row r="8" spans="1:1" x14ac:dyDescent="0.25">
      <c r="A8" s="27"/>
    </row>
    <row r="9" spans="1:1" x14ac:dyDescent="0.25">
      <c r="A9" s="27"/>
    </row>
    <row r="10" spans="1:1" x14ac:dyDescent="0.25">
      <c r="A10" s="27"/>
    </row>
    <row r="11" spans="1:1" x14ac:dyDescent="0.25">
      <c r="A11" s="27"/>
    </row>
    <row r="12" spans="1:1" x14ac:dyDescent="0.25">
      <c r="A12" s="27"/>
    </row>
    <row r="13" spans="1:1" x14ac:dyDescent="0.25">
      <c r="A13" s="27"/>
    </row>
    <row r="14" spans="1:1" x14ac:dyDescent="0.25">
      <c r="A14" s="27"/>
    </row>
    <row r="15" spans="1:1" x14ac:dyDescent="0.25">
      <c r="A15" s="27"/>
    </row>
    <row r="16" spans="1:1" x14ac:dyDescent="0.25">
      <c r="A16" s="27"/>
    </row>
    <row r="17" spans="1:1" x14ac:dyDescent="0.25">
      <c r="A17" s="27"/>
    </row>
    <row r="18" spans="1:1" x14ac:dyDescent="0.25">
      <c r="A18" s="27"/>
    </row>
    <row r="19" spans="1:1" x14ac:dyDescent="0.25">
      <c r="A19" s="27"/>
    </row>
    <row r="20" spans="1:1" x14ac:dyDescent="0.25">
      <c r="A20" s="27"/>
    </row>
    <row r="21" spans="1:1" x14ac:dyDescent="0.25">
      <c r="A21" s="27"/>
    </row>
    <row r="22" spans="1:1" x14ac:dyDescent="0.25">
      <c r="A22" s="27"/>
    </row>
    <row r="23" spans="1:1" x14ac:dyDescent="0.25">
      <c r="A23" s="27"/>
    </row>
    <row r="24" spans="1:1" x14ac:dyDescent="0.25">
      <c r="A24" s="27"/>
    </row>
    <row r="25" spans="1:1" x14ac:dyDescent="0.25">
      <c r="A25" s="27"/>
    </row>
    <row r="26" spans="1:1" x14ac:dyDescent="0.25">
      <c r="A26" s="27"/>
    </row>
    <row r="27" spans="1:1" x14ac:dyDescent="0.25">
      <c r="A27" s="27"/>
    </row>
    <row r="28" spans="1:1" x14ac:dyDescent="0.25">
      <c r="A28" s="27"/>
    </row>
    <row r="29" spans="1:1" x14ac:dyDescent="0.25">
      <c r="A29" s="27"/>
    </row>
    <row r="30" spans="1:1" x14ac:dyDescent="0.25">
      <c r="A30" s="27"/>
    </row>
    <row r="31" spans="1:1" x14ac:dyDescent="0.25">
      <c r="A31" s="27"/>
    </row>
    <row r="32" spans="1:1" x14ac:dyDescent="0.25">
      <c r="A32" s="27"/>
    </row>
    <row r="33" spans="1:39" x14ac:dyDescent="0.25">
      <c r="A33" s="27"/>
    </row>
    <row r="34" spans="1:39" x14ac:dyDescent="0.25">
      <c r="A34" s="27"/>
    </row>
    <row r="35" spans="1:39" s="26" customFormat="1" ht="6.75" customHeight="1" x14ac:dyDescent="0.25">
      <c r="A35" s="27"/>
      <c r="B35" s="27"/>
      <c r="C35" s="27"/>
      <c r="D35" s="27"/>
      <c r="E35" s="27"/>
      <c r="F35" s="27"/>
      <c r="G35" s="27"/>
      <c r="H35" s="27"/>
      <c r="I35" s="27"/>
      <c r="J35" s="27"/>
      <c r="K35" s="27"/>
      <c r="L35" s="27"/>
      <c r="M35" s="27"/>
      <c r="N35" s="28"/>
      <c r="O35" s="28"/>
      <c r="P35" s="28"/>
      <c r="Q35" s="28"/>
      <c r="R35" s="28"/>
      <c r="S35" s="28"/>
      <c r="T35" s="28"/>
      <c r="U35" s="28"/>
      <c r="V35" s="28"/>
      <c r="W35" s="28"/>
      <c r="X35" s="28"/>
      <c r="Y35" s="28"/>
      <c r="Z35" s="28"/>
      <c r="AA35" s="28"/>
      <c r="AB35" s="28"/>
      <c r="AC35" s="28"/>
      <c r="AD35" s="28"/>
      <c r="AE35" s="28"/>
      <c r="AF35" s="28"/>
      <c r="AG35" s="28"/>
      <c r="AH35" s="28"/>
      <c r="AI35" s="28"/>
      <c r="AJ35" s="28"/>
      <c r="AK35" s="28"/>
      <c r="AL35" s="28"/>
      <c r="AM35" s="28"/>
    </row>
    <row r="36" spans="1:39" s="28" customFormat="1" x14ac:dyDescent="0.25"/>
    <row r="37" spans="1:39" s="28" customFormat="1" x14ac:dyDescent="0.25"/>
    <row r="38" spans="1:39" s="28" customFormat="1" x14ac:dyDescent="0.25"/>
    <row r="39" spans="1:39" s="28" customFormat="1" x14ac:dyDescent="0.25"/>
    <row r="40" spans="1:39" s="28" customForma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1A351-843E-4174-A0C9-3C2E2929DD40}">
  <dimension ref="A1:AA68"/>
  <sheetViews>
    <sheetView showGridLines="0" topLeftCell="A37" workbookViewId="0">
      <selection activeCell="A46" sqref="A46"/>
    </sheetView>
  </sheetViews>
  <sheetFormatPr defaultRowHeight="15" x14ac:dyDescent="0.25"/>
  <cols>
    <col min="1" max="1" width="10.85546875" bestFit="1" customWidth="1"/>
    <col min="2" max="2" width="15.28515625" bestFit="1" customWidth="1"/>
    <col min="9" max="9" width="13.28515625" bestFit="1" customWidth="1"/>
    <col min="10" max="10" width="16.42578125" bestFit="1" customWidth="1"/>
    <col min="11" max="11" width="6.42578125" bestFit="1" customWidth="1"/>
    <col min="14" max="14" width="14.42578125" customWidth="1"/>
    <col min="15" max="15" width="13.140625" bestFit="1" customWidth="1"/>
    <col min="16" max="16" width="10.85546875" bestFit="1" customWidth="1"/>
    <col min="17" max="17" width="4.42578125" bestFit="1" customWidth="1"/>
    <col min="18" max="18" width="4.140625" bestFit="1" customWidth="1"/>
    <col min="19" max="19" width="4.42578125" bestFit="1" customWidth="1"/>
    <col min="20" max="20" width="3.42578125" bestFit="1" customWidth="1"/>
    <col min="21" max="21" width="5.42578125" bestFit="1" customWidth="1"/>
    <col min="22" max="22" width="4.5703125" bestFit="1" customWidth="1"/>
    <col min="23" max="23" width="3.42578125" bestFit="1" customWidth="1"/>
    <col min="24" max="24" width="5.42578125" bestFit="1" customWidth="1"/>
    <col min="25" max="25" width="11.28515625" bestFit="1" customWidth="1"/>
    <col min="26" max="26" width="13.140625" bestFit="1" customWidth="1"/>
    <col min="27" max="27" width="15.28515625" bestFit="1" customWidth="1"/>
  </cols>
  <sheetData>
    <row r="1" spans="1:27" x14ac:dyDescent="0.25">
      <c r="A1" s="2" t="s">
        <v>862</v>
      </c>
    </row>
    <row r="3" spans="1:27" x14ac:dyDescent="0.25">
      <c r="A3" s="6" t="s">
        <v>867</v>
      </c>
      <c r="I3" s="7" t="s">
        <v>868</v>
      </c>
      <c r="O3" s="19" t="s">
        <v>900</v>
      </c>
    </row>
    <row r="4" spans="1:27" x14ac:dyDescent="0.25">
      <c r="A4" s="3" t="s">
        <v>863</v>
      </c>
      <c r="O4" s="13" t="s">
        <v>901</v>
      </c>
      <c r="Z4" s="4" t="s">
        <v>865</v>
      </c>
      <c r="AA4" t="s">
        <v>888</v>
      </c>
    </row>
    <row r="5" spans="1:27" x14ac:dyDescent="0.25">
      <c r="I5" s="10" t="s">
        <v>892</v>
      </c>
      <c r="O5" s="4" t="s">
        <v>865</v>
      </c>
      <c r="P5" t="s">
        <v>887</v>
      </c>
      <c r="Z5" s="5" t="s">
        <v>884</v>
      </c>
      <c r="AA5" s="21">
        <v>74</v>
      </c>
    </row>
    <row r="6" spans="1:27" x14ac:dyDescent="0.25">
      <c r="A6" t="s">
        <v>888</v>
      </c>
      <c r="I6" s="16">
        <f>SUMIF(Data[Working status],"Active",Data[Salary])</f>
        <v>6559800</v>
      </c>
      <c r="O6" s="5" t="s">
        <v>29</v>
      </c>
      <c r="P6" s="22">
        <v>9.7323600973236012E-3</v>
      </c>
      <c r="Z6" s="5" t="s">
        <v>885</v>
      </c>
      <c r="AA6" s="21">
        <v>43</v>
      </c>
    </row>
    <row r="7" spans="1:27" x14ac:dyDescent="0.25">
      <c r="A7" s="21">
        <v>411</v>
      </c>
      <c r="O7" s="5" t="s">
        <v>579</v>
      </c>
      <c r="P7" s="22">
        <v>7.2992700729927005E-3</v>
      </c>
      <c r="Z7" s="5" t="s">
        <v>876</v>
      </c>
      <c r="AA7" s="21">
        <v>3</v>
      </c>
    </row>
    <row r="8" spans="1:27" x14ac:dyDescent="0.25">
      <c r="I8" s="10" t="s">
        <v>869</v>
      </c>
      <c r="O8" s="5" t="s">
        <v>80</v>
      </c>
      <c r="P8" s="22">
        <v>2.4330900243309003E-3</v>
      </c>
      <c r="Z8" s="5" t="s">
        <v>886</v>
      </c>
      <c r="AA8" s="21">
        <v>1</v>
      </c>
    </row>
    <row r="9" spans="1:27" x14ac:dyDescent="0.25">
      <c r="A9" s="10" t="s">
        <v>864</v>
      </c>
      <c r="O9" s="5" t="s">
        <v>17</v>
      </c>
      <c r="P9" s="22">
        <v>0.22871046228710462</v>
      </c>
      <c r="Z9" s="5" t="s">
        <v>877</v>
      </c>
      <c r="AA9" s="21">
        <v>3</v>
      </c>
    </row>
    <row r="10" spans="1:27" x14ac:dyDescent="0.25">
      <c r="A10" t="s">
        <v>889</v>
      </c>
      <c r="I10" s="4" t="s">
        <v>865</v>
      </c>
      <c r="J10" t="s">
        <v>870</v>
      </c>
      <c r="O10" s="5" t="s">
        <v>205</v>
      </c>
      <c r="P10" s="22">
        <v>6.8126520681265207E-2</v>
      </c>
      <c r="Z10" s="5" t="s">
        <v>878</v>
      </c>
      <c r="AA10" s="21">
        <v>8</v>
      </c>
    </row>
    <row r="11" spans="1:27" x14ac:dyDescent="0.25">
      <c r="A11" s="4" t="s">
        <v>865</v>
      </c>
      <c r="B11" t="s">
        <v>888</v>
      </c>
      <c r="I11" s="5" t="s">
        <v>29</v>
      </c>
      <c r="J11" s="9">
        <v>17375</v>
      </c>
      <c r="O11" s="5" t="s">
        <v>36</v>
      </c>
      <c r="P11" s="22">
        <v>0.37712895377128952</v>
      </c>
      <c r="Z11" s="5" t="s">
        <v>879</v>
      </c>
      <c r="AA11" s="21">
        <v>12</v>
      </c>
    </row>
    <row r="12" spans="1:27" x14ac:dyDescent="0.25">
      <c r="A12" s="5" t="s">
        <v>29</v>
      </c>
      <c r="B12" s="21">
        <v>4</v>
      </c>
      <c r="I12" s="5" t="s">
        <v>579</v>
      </c>
      <c r="J12" s="9">
        <v>13000</v>
      </c>
      <c r="O12" s="5" t="s">
        <v>44</v>
      </c>
      <c r="P12" s="22">
        <v>0.30656934306569344</v>
      </c>
      <c r="Z12" s="5" t="s">
        <v>880</v>
      </c>
      <c r="AA12" s="21">
        <v>2</v>
      </c>
    </row>
    <row r="13" spans="1:27" x14ac:dyDescent="0.25">
      <c r="A13" s="5" t="s">
        <v>579</v>
      </c>
      <c r="B13" s="21">
        <v>3</v>
      </c>
      <c r="I13" s="5" t="s">
        <v>80</v>
      </c>
      <c r="J13" s="9">
        <v>56</v>
      </c>
      <c r="O13" s="5" t="s">
        <v>866</v>
      </c>
      <c r="P13" s="22">
        <v>1</v>
      </c>
      <c r="Z13" s="5" t="s">
        <v>881</v>
      </c>
      <c r="AA13" s="21">
        <v>1</v>
      </c>
    </row>
    <row r="14" spans="1:27" x14ac:dyDescent="0.25">
      <c r="A14" s="5" t="s">
        <v>80</v>
      </c>
      <c r="B14" s="21">
        <v>1</v>
      </c>
      <c r="I14" s="5" t="s">
        <v>17</v>
      </c>
      <c r="J14" s="9">
        <v>10394.510638297872</v>
      </c>
      <c r="Z14" s="5" t="s">
        <v>882</v>
      </c>
      <c r="AA14" s="21">
        <v>2</v>
      </c>
    </row>
    <row r="15" spans="1:27" x14ac:dyDescent="0.25">
      <c r="A15" s="5" t="s">
        <v>17</v>
      </c>
      <c r="B15" s="21">
        <v>94</v>
      </c>
      <c r="I15" s="5" t="s">
        <v>205</v>
      </c>
      <c r="J15" s="9">
        <v>8845.4285714285706</v>
      </c>
      <c r="Z15" s="5" t="s">
        <v>883</v>
      </c>
      <c r="AA15" s="21">
        <v>262</v>
      </c>
    </row>
    <row r="16" spans="1:27" x14ac:dyDescent="0.25">
      <c r="A16" s="5" t="s">
        <v>205</v>
      </c>
      <c r="B16" s="21">
        <v>28</v>
      </c>
      <c r="I16" s="5" t="s">
        <v>36</v>
      </c>
      <c r="J16" s="9">
        <v>25381.012903225808</v>
      </c>
      <c r="Z16" s="5" t="s">
        <v>866</v>
      </c>
      <c r="AA16" s="21">
        <v>411</v>
      </c>
    </row>
    <row r="17" spans="1:16" x14ac:dyDescent="0.25">
      <c r="A17" s="5" t="s">
        <v>36</v>
      </c>
      <c r="B17" s="21">
        <v>155</v>
      </c>
      <c r="I17" s="5" t="s">
        <v>44</v>
      </c>
      <c r="J17" s="9">
        <v>10281.198412698413</v>
      </c>
      <c r="O17" s="20" t="s">
        <v>903</v>
      </c>
    </row>
    <row r="18" spans="1:16" x14ac:dyDescent="0.25">
      <c r="A18" s="5" t="s">
        <v>44</v>
      </c>
      <c r="B18" s="21">
        <v>126</v>
      </c>
      <c r="I18" s="5" t="s">
        <v>866</v>
      </c>
      <c r="J18" s="9">
        <v>15967.883211678833</v>
      </c>
    </row>
    <row r="19" spans="1:16" x14ac:dyDescent="0.25">
      <c r="A19" s="5" t="s">
        <v>866</v>
      </c>
      <c r="B19" s="21">
        <v>411</v>
      </c>
    </row>
    <row r="21" spans="1:16" x14ac:dyDescent="0.25">
      <c r="A21" s="13" t="s">
        <v>890</v>
      </c>
      <c r="I21" s="13" t="s">
        <v>893</v>
      </c>
    </row>
    <row r="23" spans="1:16" x14ac:dyDescent="0.25">
      <c r="A23" s="4" t="s">
        <v>865</v>
      </c>
      <c r="B23" t="s">
        <v>888</v>
      </c>
      <c r="I23" s="4" t="s">
        <v>865</v>
      </c>
      <c r="J23" t="s">
        <v>870</v>
      </c>
    </row>
    <row r="24" spans="1:16" x14ac:dyDescent="0.25">
      <c r="A24" s="5" t="s">
        <v>199</v>
      </c>
      <c r="B24" s="21">
        <v>5</v>
      </c>
      <c r="I24" s="5" t="s">
        <v>18</v>
      </c>
      <c r="J24" s="9">
        <v>16711.517808219178</v>
      </c>
    </row>
    <row r="25" spans="1:16" x14ac:dyDescent="0.25">
      <c r="A25" s="5" t="s">
        <v>194</v>
      </c>
      <c r="B25" s="21">
        <v>2</v>
      </c>
      <c r="I25" s="5" t="s">
        <v>872</v>
      </c>
      <c r="J25" s="9">
        <v>10067.304347826086</v>
      </c>
    </row>
    <row r="26" spans="1:16" x14ac:dyDescent="0.25">
      <c r="A26" s="5" t="s">
        <v>646</v>
      </c>
      <c r="B26" s="21">
        <v>2</v>
      </c>
      <c r="I26" s="5" t="s">
        <v>866</v>
      </c>
      <c r="J26" s="9">
        <v>15967.883211678833</v>
      </c>
    </row>
    <row r="27" spans="1:16" x14ac:dyDescent="0.25">
      <c r="A27" s="5" t="s">
        <v>169</v>
      </c>
      <c r="B27" s="21">
        <v>15</v>
      </c>
    </row>
    <row r="28" spans="1:16" x14ac:dyDescent="0.25">
      <c r="A28" s="5" t="s">
        <v>202</v>
      </c>
      <c r="B28" s="21">
        <v>11</v>
      </c>
      <c r="I28" s="5" t="s">
        <v>894</v>
      </c>
      <c r="O28" s="10" t="s">
        <v>902</v>
      </c>
    </row>
    <row r="29" spans="1:16" x14ac:dyDescent="0.25">
      <c r="A29" s="5" t="s">
        <v>18</v>
      </c>
      <c r="B29" s="21">
        <v>365</v>
      </c>
    </row>
    <row r="30" spans="1:16" x14ac:dyDescent="0.25">
      <c r="A30" s="5" t="s">
        <v>45</v>
      </c>
      <c r="B30" s="21">
        <v>2</v>
      </c>
      <c r="I30" s="4" t="s">
        <v>865</v>
      </c>
      <c r="J30" t="s">
        <v>870</v>
      </c>
      <c r="O30" s="4" t="s">
        <v>865</v>
      </c>
      <c r="P30" t="s">
        <v>887</v>
      </c>
    </row>
    <row r="31" spans="1:16" x14ac:dyDescent="0.25">
      <c r="A31" s="5" t="s">
        <v>175</v>
      </c>
      <c r="B31" s="21">
        <v>5</v>
      </c>
      <c r="I31" s="5" t="s">
        <v>20</v>
      </c>
      <c r="J31" s="9">
        <v>17005.478260869564</v>
      </c>
      <c r="O31" s="5" t="s">
        <v>37</v>
      </c>
      <c r="P31" s="9">
        <v>69</v>
      </c>
    </row>
    <row r="32" spans="1:16" x14ac:dyDescent="0.25">
      <c r="A32" s="5" t="s">
        <v>180</v>
      </c>
      <c r="B32" s="21">
        <v>3</v>
      </c>
      <c r="I32" s="5" t="s">
        <v>31</v>
      </c>
      <c r="J32" s="9">
        <v>15906.376288659794</v>
      </c>
      <c r="O32" s="17" t="s">
        <v>141</v>
      </c>
      <c r="P32" s="9">
        <v>1</v>
      </c>
    </row>
    <row r="33" spans="1:16" x14ac:dyDescent="0.25">
      <c r="A33" s="5" t="s">
        <v>858</v>
      </c>
      <c r="B33" s="21">
        <v>1</v>
      </c>
      <c r="I33" s="5" t="s">
        <v>866</v>
      </c>
      <c r="J33" s="9">
        <v>15967.883211678833</v>
      </c>
      <c r="O33" s="17" t="s">
        <v>32</v>
      </c>
      <c r="P33" s="9">
        <v>13</v>
      </c>
    </row>
    <row r="34" spans="1:16" x14ac:dyDescent="0.25">
      <c r="A34" s="5" t="s">
        <v>866</v>
      </c>
      <c r="B34" s="21">
        <v>411</v>
      </c>
      <c r="O34" s="17" t="s">
        <v>517</v>
      </c>
      <c r="P34" s="9">
        <v>1</v>
      </c>
    </row>
    <row r="35" spans="1:16" x14ac:dyDescent="0.25">
      <c r="O35" s="17" t="s">
        <v>58</v>
      </c>
      <c r="P35" s="9">
        <v>10</v>
      </c>
    </row>
    <row r="36" spans="1:16" x14ac:dyDescent="0.25">
      <c r="A36" s="15" t="s">
        <v>891</v>
      </c>
      <c r="I36" s="18" t="s">
        <v>895</v>
      </c>
      <c r="O36" s="17" t="s">
        <v>148</v>
      </c>
      <c r="P36" s="9">
        <v>1</v>
      </c>
    </row>
    <row r="37" spans="1:16" x14ac:dyDescent="0.25">
      <c r="I37" s="13" t="s">
        <v>896</v>
      </c>
      <c r="O37" s="17" t="s">
        <v>23</v>
      </c>
      <c r="P37" s="9">
        <v>17</v>
      </c>
    </row>
    <row r="38" spans="1:16" x14ac:dyDescent="0.25">
      <c r="A38" s="4" t="s">
        <v>865</v>
      </c>
      <c r="B38" t="s">
        <v>888</v>
      </c>
      <c r="I38" s="4" t="s">
        <v>865</v>
      </c>
      <c r="J38" t="s">
        <v>897</v>
      </c>
      <c r="O38" s="17" t="s">
        <v>115</v>
      </c>
      <c r="P38" s="9">
        <v>3</v>
      </c>
    </row>
    <row r="39" spans="1:16" x14ac:dyDescent="0.25">
      <c r="A39" s="5" t="s">
        <v>75</v>
      </c>
      <c r="B39" s="14">
        <v>0.91970802919708028</v>
      </c>
      <c r="I39" s="5">
        <v>2023</v>
      </c>
      <c r="J39" s="9">
        <v>291</v>
      </c>
      <c r="O39" s="17" t="s">
        <v>72</v>
      </c>
      <c r="P39" s="9">
        <v>2</v>
      </c>
    </row>
    <row r="40" spans="1:16" x14ac:dyDescent="0.25">
      <c r="A40" s="5" t="s">
        <v>30</v>
      </c>
      <c r="B40" s="14">
        <v>6.0827250608272508E-2</v>
      </c>
      <c r="I40" s="17">
        <v>1</v>
      </c>
      <c r="J40" s="9">
        <v>2</v>
      </c>
      <c r="O40" s="17" t="s">
        <v>38</v>
      </c>
      <c r="P40" s="9">
        <v>21</v>
      </c>
    </row>
    <row r="41" spans="1:16" x14ac:dyDescent="0.25">
      <c r="A41" s="5" t="s">
        <v>19</v>
      </c>
      <c r="B41" s="14">
        <v>1.9464720194647202E-2</v>
      </c>
      <c r="I41" s="17">
        <v>2</v>
      </c>
      <c r="J41" s="9">
        <v>10</v>
      </c>
      <c r="O41" s="5" t="s">
        <v>22</v>
      </c>
      <c r="P41" s="9">
        <v>342</v>
      </c>
    </row>
    <row r="42" spans="1:16" x14ac:dyDescent="0.25">
      <c r="A42" s="5" t="s">
        <v>866</v>
      </c>
      <c r="B42" s="14">
        <v>1</v>
      </c>
      <c r="I42" s="17">
        <v>3</v>
      </c>
      <c r="J42" s="9">
        <v>15</v>
      </c>
      <c r="O42" s="17" t="s">
        <v>141</v>
      </c>
      <c r="P42" s="9">
        <v>2</v>
      </c>
    </row>
    <row r="43" spans="1:16" x14ac:dyDescent="0.25">
      <c r="I43" s="17">
        <v>4</v>
      </c>
      <c r="J43" s="9">
        <v>264</v>
      </c>
      <c r="O43" s="17" t="s">
        <v>32</v>
      </c>
      <c r="P43" s="9">
        <v>77</v>
      </c>
    </row>
    <row r="44" spans="1:16" x14ac:dyDescent="0.25">
      <c r="I44" s="5">
        <v>2024</v>
      </c>
      <c r="J44" s="9">
        <v>120</v>
      </c>
      <c r="O44" s="17" t="s">
        <v>517</v>
      </c>
      <c r="P44" s="9">
        <v>1</v>
      </c>
    </row>
    <row r="45" spans="1:16" x14ac:dyDescent="0.25">
      <c r="A45" t="s">
        <v>870</v>
      </c>
      <c r="I45" s="17">
        <v>1</v>
      </c>
      <c r="J45" s="9">
        <v>118</v>
      </c>
      <c r="O45" s="17" t="s">
        <v>58</v>
      </c>
      <c r="P45" s="9">
        <v>26</v>
      </c>
    </row>
    <row r="46" spans="1:16" x14ac:dyDescent="0.25">
      <c r="A46" s="9">
        <v>15967.883211678833</v>
      </c>
      <c r="I46" s="17">
        <v>2</v>
      </c>
      <c r="J46" s="9">
        <v>2</v>
      </c>
      <c r="O46" s="17" t="s">
        <v>148</v>
      </c>
      <c r="P46" s="9">
        <v>4</v>
      </c>
    </row>
    <row r="47" spans="1:16" x14ac:dyDescent="0.25">
      <c r="I47" s="5" t="s">
        <v>866</v>
      </c>
      <c r="J47" s="9">
        <v>411</v>
      </c>
      <c r="O47" s="17" t="s">
        <v>23</v>
      </c>
      <c r="P47" s="9">
        <v>108</v>
      </c>
    </row>
    <row r="48" spans="1:16" x14ac:dyDescent="0.25">
      <c r="A48" t="s">
        <v>887</v>
      </c>
      <c r="O48" s="17" t="s">
        <v>115</v>
      </c>
      <c r="P48" s="9">
        <v>28</v>
      </c>
    </row>
    <row r="49" spans="1:16" x14ac:dyDescent="0.25">
      <c r="A49" s="9">
        <v>411</v>
      </c>
      <c r="I49" s="10" t="s">
        <v>898</v>
      </c>
      <c r="O49" s="17" t="s">
        <v>72</v>
      </c>
      <c r="P49" s="9">
        <v>2</v>
      </c>
    </row>
    <row r="50" spans="1:16" x14ac:dyDescent="0.25">
      <c r="O50" s="17" t="s">
        <v>38</v>
      </c>
      <c r="P50" s="9">
        <v>94</v>
      </c>
    </row>
    <row r="51" spans="1:16" x14ac:dyDescent="0.25">
      <c r="I51" s="4" t="s">
        <v>865</v>
      </c>
      <c r="J51" t="s">
        <v>887</v>
      </c>
      <c r="K51" t="s">
        <v>905</v>
      </c>
      <c r="O51" s="5" t="s">
        <v>866</v>
      </c>
      <c r="P51" s="9">
        <v>411</v>
      </c>
    </row>
    <row r="52" spans="1:16" x14ac:dyDescent="0.25">
      <c r="I52" s="5" t="s">
        <v>26</v>
      </c>
      <c r="J52" s="14">
        <v>0.99513381995133821</v>
      </c>
      <c r="K52" s="9">
        <v>409</v>
      </c>
    </row>
    <row r="53" spans="1:16" x14ac:dyDescent="0.25">
      <c r="I53" s="5" t="s">
        <v>41</v>
      </c>
      <c r="J53" s="14">
        <v>2.4330900243309003E-3</v>
      </c>
      <c r="K53" s="9">
        <v>1</v>
      </c>
    </row>
    <row r="54" spans="1:16" x14ac:dyDescent="0.25">
      <c r="I54" s="5" t="s">
        <v>33</v>
      </c>
      <c r="J54" s="14">
        <v>2.4330900243309003E-3</v>
      </c>
      <c r="K54" s="9">
        <v>1</v>
      </c>
    </row>
    <row r="55" spans="1:16" x14ac:dyDescent="0.25">
      <c r="I55" s="5" t="s">
        <v>866</v>
      </c>
      <c r="J55" s="14">
        <v>1</v>
      </c>
      <c r="K55" s="9">
        <v>411</v>
      </c>
    </row>
    <row r="57" spans="1:16" x14ac:dyDescent="0.25">
      <c r="I57" s="10" t="s">
        <v>899</v>
      </c>
    </row>
    <row r="59" spans="1:16" x14ac:dyDescent="0.25">
      <c r="I59" s="4" t="s">
        <v>865</v>
      </c>
      <c r="J59" t="s">
        <v>887</v>
      </c>
    </row>
    <row r="60" spans="1:16" x14ac:dyDescent="0.25">
      <c r="I60" s="5" t="s">
        <v>20</v>
      </c>
      <c r="J60" s="9">
        <v>23</v>
      </c>
    </row>
    <row r="61" spans="1:16" x14ac:dyDescent="0.25">
      <c r="I61" s="5" t="s">
        <v>31</v>
      </c>
      <c r="J61" s="9">
        <v>388</v>
      </c>
    </row>
    <row r="62" spans="1:16" x14ac:dyDescent="0.25">
      <c r="I62" s="5" t="s">
        <v>866</v>
      </c>
      <c r="J62" s="9">
        <v>411</v>
      </c>
    </row>
    <row r="65" spans="9:10" x14ac:dyDescent="0.25">
      <c r="I65" s="4" t="s">
        <v>865</v>
      </c>
      <c r="J65" t="s">
        <v>904</v>
      </c>
    </row>
    <row r="66" spans="9:10" x14ac:dyDescent="0.25">
      <c r="I66" s="5" t="s">
        <v>81</v>
      </c>
      <c r="J66" s="9">
        <v>138</v>
      </c>
    </row>
    <row r="67" spans="9:10" x14ac:dyDescent="0.25">
      <c r="I67" s="5" t="s">
        <v>21</v>
      </c>
      <c r="J67" s="9">
        <v>273</v>
      </c>
    </row>
    <row r="68" spans="9:10" x14ac:dyDescent="0.25">
      <c r="I68" s="5" t="s">
        <v>866</v>
      </c>
      <c r="J68" s="9">
        <v>411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6949A-5F85-42AA-9E33-E21EE1C026D9}">
  <dimension ref="A1:S412"/>
  <sheetViews>
    <sheetView topLeftCell="A2" workbookViewId="0">
      <selection activeCell="C35" sqref="C35"/>
    </sheetView>
  </sheetViews>
  <sheetFormatPr defaultRowHeight="15" x14ac:dyDescent="0.25"/>
  <cols>
    <col min="1" max="1" width="7.5703125" bestFit="1" customWidth="1"/>
    <col min="2" max="2" width="36.85546875" bestFit="1" customWidth="1"/>
    <col min="3" max="3" width="23.140625" bestFit="1" customWidth="1"/>
    <col min="4" max="4" width="17.42578125" bestFit="1" customWidth="1"/>
    <col min="5" max="5" width="20.7109375" bestFit="1" customWidth="1"/>
    <col min="6" max="6" width="17" bestFit="1" customWidth="1"/>
    <col min="7" max="7" width="21.85546875" bestFit="1" customWidth="1"/>
    <col min="8" max="8" width="13.7109375" bestFit="1" customWidth="1"/>
    <col min="9" max="9" width="10" bestFit="1" customWidth="1"/>
    <col min="10" max="10" width="15.7109375" bestFit="1" customWidth="1"/>
    <col min="11" max="11" width="14.42578125" bestFit="1" customWidth="1"/>
    <col min="12" max="12" width="17.85546875" bestFit="1" customWidth="1"/>
    <col min="13" max="13" width="11.140625" bestFit="1" customWidth="1"/>
    <col min="14" max="14" width="16.7109375" bestFit="1" customWidth="1"/>
    <col min="15" max="15" width="8.5703125" bestFit="1" customWidth="1"/>
    <col min="16" max="16" width="13.28515625" bestFit="1" customWidth="1"/>
    <col min="17" max="17" width="15" bestFit="1" customWidth="1"/>
    <col min="18" max="18" width="7.28515625" bestFit="1" customWidth="1"/>
    <col min="19" max="19" width="10.140625" bestFit="1" customWidth="1"/>
  </cols>
  <sheetData>
    <row r="1" spans="1:19" x14ac:dyDescent="0.25">
      <c r="A1" t="s">
        <v>0</v>
      </c>
      <c r="B1" t="s">
        <v>1</v>
      </c>
      <c r="C1" t="s">
        <v>2</v>
      </c>
      <c r="D1" t="s">
        <v>3</v>
      </c>
      <c r="E1" t="s">
        <v>4</v>
      </c>
      <c r="F1" t="s">
        <v>5</v>
      </c>
      <c r="G1" t="s">
        <v>6</v>
      </c>
      <c r="H1" t="s">
        <v>7</v>
      </c>
      <c r="I1" t="s">
        <v>8</v>
      </c>
      <c r="J1" t="s">
        <v>9</v>
      </c>
      <c r="K1" t="s">
        <v>10</v>
      </c>
      <c r="L1" t="s">
        <v>11</v>
      </c>
      <c r="M1" t="s">
        <v>12</v>
      </c>
      <c r="N1" t="s">
        <v>13</v>
      </c>
      <c r="O1" t="s">
        <v>14</v>
      </c>
      <c r="P1" t="s">
        <v>871</v>
      </c>
      <c r="Q1" t="s">
        <v>873</v>
      </c>
      <c r="R1" t="s">
        <v>874</v>
      </c>
      <c r="S1" t="s">
        <v>875</v>
      </c>
    </row>
    <row r="2" spans="1:19" x14ac:dyDescent="0.25">
      <c r="A2" t="s">
        <v>15</v>
      </c>
      <c r="B2" t="s">
        <v>16</v>
      </c>
      <c r="C2" t="s">
        <v>17</v>
      </c>
      <c r="D2" t="s">
        <v>18</v>
      </c>
      <c r="E2" t="s">
        <v>19</v>
      </c>
      <c r="F2" t="s">
        <v>20</v>
      </c>
      <c r="G2" s="11">
        <v>45171</v>
      </c>
      <c r="H2" s="12">
        <v>44991</v>
      </c>
      <c r="I2" t="s">
        <v>21</v>
      </c>
      <c r="J2" t="s">
        <v>22</v>
      </c>
      <c r="K2" t="s">
        <v>23</v>
      </c>
      <c r="L2" t="s">
        <v>24</v>
      </c>
      <c r="M2" t="s">
        <v>25</v>
      </c>
      <c r="N2" t="s">
        <v>26</v>
      </c>
      <c r="O2">
        <v>10000</v>
      </c>
      <c r="P2" t="s">
        <v>18</v>
      </c>
      <c r="Q2" t="s">
        <v>876</v>
      </c>
      <c r="R2">
        <v>2023</v>
      </c>
      <c r="S2">
        <v>1</v>
      </c>
    </row>
    <row r="3" spans="1:19" x14ac:dyDescent="0.25">
      <c r="A3" t="s">
        <v>15</v>
      </c>
      <c r="B3" t="s">
        <v>16</v>
      </c>
      <c r="C3" t="s">
        <v>17</v>
      </c>
      <c r="D3" t="s">
        <v>18</v>
      </c>
      <c r="E3" t="s">
        <v>19</v>
      </c>
      <c r="F3" t="s">
        <v>20</v>
      </c>
      <c r="G3" s="11">
        <v>45171</v>
      </c>
      <c r="H3" s="12">
        <v>44991</v>
      </c>
      <c r="I3" t="s">
        <v>21</v>
      </c>
      <c r="J3" t="s">
        <v>22</v>
      </c>
      <c r="K3" t="s">
        <v>23</v>
      </c>
      <c r="L3" t="s">
        <v>24</v>
      </c>
      <c r="M3" t="s">
        <v>25</v>
      </c>
      <c r="N3" t="s">
        <v>26</v>
      </c>
      <c r="O3">
        <v>10000</v>
      </c>
      <c r="P3" t="s">
        <v>18</v>
      </c>
      <c r="Q3" t="s">
        <v>876</v>
      </c>
      <c r="R3">
        <v>2023</v>
      </c>
      <c r="S3">
        <v>1</v>
      </c>
    </row>
    <row r="4" spans="1:19" x14ac:dyDescent="0.25">
      <c r="A4" t="s">
        <v>27</v>
      </c>
      <c r="B4" t="s">
        <v>28</v>
      </c>
      <c r="C4" t="s">
        <v>29</v>
      </c>
      <c r="D4" t="s">
        <v>18</v>
      </c>
      <c r="E4" t="s">
        <v>30</v>
      </c>
      <c r="F4" t="s">
        <v>31</v>
      </c>
      <c r="G4" s="11">
        <v>45232</v>
      </c>
      <c r="H4" s="12">
        <v>45052</v>
      </c>
      <c r="I4" t="s">
        <v>21</v>
      </c>
      <c r="J4" t="s">
        <v>22</v>
      </c>
      <c r="K4" t="s">
        <v>32</v>
      </c>
      <c r="L4" t="s">
        <v>24</v>
      </c>
      <c r="M4" t="s">
        <v>25</v>
      </c>
      <c r="N4" t="s">
        <v>33</v>
      </c>
      <c r="O4">
        <v>2500</v>
      </c>
      <c r="P4" t="s">
        <v>18</v>
      </c>
      <c r="Q4" t="s">
        <v>877</v>
      </c>
      <c r="R4">
        <v>2023</v>
      </c>
      <c r="S4">
        <v>2</v>
      </c>
    </row>
    <row r="5" spans="1:19" x14ac:dyDescent="0.25">
      <c r="A5" t="s">
        <v>34</v>
      </c>
      <c r="B5" t="s">
        <v>35</v>
      </c>
      <c r="C5" t="s">
        <v>36</v>
      </c>
      <c r="D5" t="s">
        <v>18</v>
      </c>
      <c r="E5" t="s">
        <v>19</v>
      </c>
      <c r="F5" t="s">
        <v>20</v>
      </c>
      <c r="G5" s="11">
        <v>45246</v>
      </c>
      <c r="H5" s="12">
        <v>45066</v>
      </c>
      <c r="I5" t="s">
        <v>21</v>
      </c>
      <c r="J5" t="s">
        <v>37</v>
      </c>
      <c r="K5" t="s">
        <v>38</v>
      </c>
      <c r="L5" t="s">
        <v>39</v>
      </c>
      <c r="M5" t="s">
        <v>40</v>
      </c>
      <c r="N5" t="s">
        <v>41</v>
      </c>
      <c r="O5">
        <v>500</v>
      </c>
      <c r="P5" t="s">
        <v>18</v>
      </c>
      <c r="Q5" t="s">
        <v>877</v>
      </c>
      <c r="R5">
        <v>2023</v>
      </c>
      <c r="S5">
        <v>2</v>
      </c>
    </row>
    <row r="6" spans="1:19" x14ac:dyDescent="0.25">
      <c r="A6" t="s">
        <v>42</v>
      </c>
      <c r="B6" t="s">
        <v>43</v>
      </c>
      <c r="C6" t="s">
        <v>44</v>
      </c>
      <c r="D6" t="s">
        <v>45</v>
      </c>
      <c r="E6" t="s">
        <v>30</v>
      </c>
      <c r="F6" t="s">
        <v>20</v>
      </c>
      <c r="G6" s="11">
        <v>45258</v>
      </c>
      <c r="H6" s="12">
        <v>45078</v>
      </c>
      <c r="I6" t="s">
        <v>21</v>
      </c>
      <c r="J6" t="s">
        <v>37</v>
      </c>
      <c r="K6" t="s">
        <v>32</v>
      </c>
      <c r="L6" t="s">
        <v>46</v>
      </c>
      <c r="M6" t="s">
        <v>47</v>
      </c>
      <c r="N6" t="s">
        <v>26</v>
      </c>
      <c r="O6">
        <v>10000</v>
      </c>
      <c r="P6" t="s">
        <v>872</v>
      </c>
      <c r="Q6" t="s">
        <v>878</v>
      </c>
      <c r="R6">
        <v>2023</v>
      </c>
      <c r="S6">
        <v>2</v>
      </c>
    </row>
    <row r="7" spans="1:19" x14ac:dyDescent="0.25">
      <c r="A7" t="s">
        <v>48</v>
      </c>
      <c r="B7" t="s">
        <v>49</v>
      </c>
      <c r="C7" t="s">
        <v>36</v>
      </c>
      <c r="D7" t="s">
        <v>18</v>
      </c>
      <c r="E7" t="s">
        <v>30</v>
      </c>
      <c r="F7" t="s">
        <v>31</v>
      </c>
      <c r="G7" s="11">
        <v>45269</v>
      </c>
      <c r="H7" s="12">
        <v>45089</v>
      </c>
      <c r="I7" t="s">
        <v>21</v>
      </c>
      <c r="J7" t="s">
        <v>22</v>
      </c>
      <c r="K7" t="s">
        <v>38</v>
      </c>
      <c r="L7" t="s">
        <v>50</v>
      </c>
      <c r="M7" t="s">
        <v>51</v>
      </c>
      <c r="N7" t="s">
        <v>26</v>
      </c>
      <c r="O7">
        <v>10000</v>
      </c>
      <c r="P7" t="s">
        <v>18</v>
      </c>
      <c r="Q7" t="s">
        <v>878</v>
      </c>
      <c r="R7">
        <v>2023</v>
      </c>
      <c r="S7">
        <v>2</v>
      </c>
    </row>
    <row r="8" spans="1:19" x14ac:dyDescent="0.25">
      <c r="A8" t="s">
        <v>48</v>
      </c>
      <c r="B8" t="s">
        <v>49</v>
      </c>
      <c r="C8" t="s">
        <v>36</v>
      </c>
      <c r="D8" t="s">
        <v>18</v>
      </c>
      <c r="E8" t="s">
        <v>30</v>
      </c>
      <c r="F8" t="s">
        <v>31</v>
      </c>
      <c r="G8" s="11">
        <v>45269</v>
      </c>
      <c r="H8" s="12">
        <v>45089</v>
      </c>
      <c r="I8" t="s">
        <v>21</v>
      </c>
      <c r="J8" t="s">
        <v>22</v>
      </c>
      <c r="K8" t="s">
        <v>38</v>
      </c>
      <c r="L8" t="s">
        <v>50</v>
      </c>
      <c r="M8" t="s">
        <v>51</v>
      </c>
      <c r="N8" t="s">
        <v>26</v>
      </c>
      <c r="O8">
        <v>10000</v>
      </c>
      <c r="P8" t="s">
        <v>18</v>
      </c>
      <c r="Q8" t="s">
        <v>878</v>
      </c>
      <c r="R8">
        <v>2023</v>
      </c>
      <c r="S8">
        <v>2</v>
      </c>
    </row>
    <row r="9" spans="1:19" x14ac:dyDescent="0.25">
      <c r="A9" t="s">
        <v>52</v>
      </c>
      <c r="B9" t="s">
        <v>53</v>
      </c>
      <c r="C9" t="s">
        <v>44</v>
      </c>
      <c r="D9" t="s">
        <v>18</v>
      </c>
      <c r="E9" t="s">
        <v>30</v>
      </c>
      <c r="F9" t="s">
        <v>20</v>
      </c>
      <c r="G9" s="11">
        <v>45269</v>
      </c>
      <c r="H9" s="12">
        <v>45089</v>
      </c>
      <c r="I9" t="s">
        <v>21</v>
      </c>
      <c r="J9" t="s">
        <v>22</v>
      </c>
      <c r="K9" t="s">
        <v>23</v>
      </c>
      <c r="L9" t="s">
        <v>24</v>
      </c>
      <c r="M9" t="s">
        <v>25</v>
      </c>
      <c r="N9" t="s">
        <v>26</v>
      </c>
      <c r="O9">
        <v>10000</v>
      </c>
      <c r="P9" t="s">
        <v>18</v>
      </c>
      <c r="Q9" t="s">
        <v>878</v>
      </c>
      <c r="R9">
        <v>2023</v>
      </c>
      <c r="S9">
        <v>2</v>
      </c>
    </row>
    <row r="10" spans="1:19" x14ac:dyDescent="0.25">
      <c r="A10" t="s">
        <v>54</v>
      </c>
      <c r="B10" t="s">
        <v>55</v>
      </c>
      <c r="C10" t="s">
        <v>36</v>
      </c>
      <c r="D10" t="s">
        <v>18</v>
      </c>
      <c r="E10" t="s">
        <v>30</v>
      </c>
      <c r="F10" t="s">
        <v>20</v>
      </c>
      <c r="G10" s="11">
        <v>45272</v>
      </c>
      <c r="H10" s="12">
        <v>45092</v>
      </c>
      <c r="I10" t="s">
        <v>21</v>
      </c>
      <c r="J10" t="s">
        <v>37</v>
      </c>
      <c r="K10" t="s">
        <v>38</v>
      </c>
      <c r="L10" t="s">
        <v>24</v>
      </c>
      <c r="M10" t="s">
        <v>25</v>
      </c>
      <c r="N10" t="s">
        <v>26</v>
      </c>
      <c r="O10">
        <v>10000</v>
      </c>
      <c r="P10" t="s">
        <v>18</v>
      </c>
      <c r="Q10" t="s">
        <v>878</v>
      </c>
      <c r="R10">
        <v>2023</v>
      </c>
      <c r="S10">
        <v>2</v>
      </c>
    </row>
    <row r="11" spans="1:19" x14ac:dyDescent="0.25">
      <c r="A11" t="s">
        <v>56</v>
      </c>
      <c r="B11" t="s">
        <v>57</v>
      </c>
      <c r="C11" t="s">
        <v>44</v>
      </c>
      <c r="D11" t="s">
        <v>18</v>
      </c>
      <c r="E11" t="s">
        <v>19</v>
      </c>
      <c r="F11" t="s">
        <v>20</v>
      </c>
      <c r="G11" s="11">
        <v>45277</v>
      </c>
      <c r="H11" s="12">
        <v>45097</v>
      </c>
      <c r="I11" t="s">
        <v>21</v>
      </c>
      <c r="J11" t="s">
        <v>22</v>
      </c>
      <c r="K11" t="s">
        <v>58</v>
      </c>
      <c r="L11" t="s">
        <v>24</v>
      </c>
      <c r="M11" t="s">
        <v>25</v>
      </c>
      <c r="N11" t="s">
        <v>26</v>
      </c>
      <c r="O11">
        <v>523</v>
      </c>
      <c r="P11" t="s">
        <v>18</v>
      </c>
      <c r="Q11" t="s">
        <v>878</v>
      </c>
      <c r="R11">
        <v>2023</v>
      </c>
      <c r="S11">
        <v>2</v>
      </c>
    </row>
    <row r="12" spans="1:19" x14ac:dyDescent="0.25">
      <c r="A12" t="s">
        <v>59</v>
      </c>
      <c r="B12" t="s">
        <v>60</v>
      </c>
      <c r="C12" t="s">
        <v>44</v>
      </c>
      <c r="D12" t="s">
        <v>18</v>
      </c>
      <c r="E12" t="s">
        <v>30</v>
      </c>
      <c r="F12" t="s">
        <v>20</v>
      </c>
      <c r="G12" s="11">
        <v>45277</v>
      </c>
      <c r="H12" s="12">
        <v>45097</v>
      </c>
      <c r="I12" t="s">
        <v>21</v>
      </c>
      <c r="J12" t="s">
        <v>22</v>
      </c>
      <c r="K12" t="s">
        <v>32</v>
      </c>
      <c r="L12" t="s">
        <v>24</v>
      </c>
      <c r="M12" t="s">
        <v>25</v>
      </c>
      <c r="N12" t="s">
        <v>26</v>
      </c>
      <c r="O12">
        <v>10000</v>
      </c>
      <c r="P12" t="s">
        <v>18</v>
      </c>
      <c r="Q12" t="s">
        <v>878</v>
      </c>
      <c r="R12">
        <v>2023</v>
      </c>
      <c r="S12">
        <v>2</v>
      </c>
    </row>
    <row r="13" spans="1:19" x14ac:dyDescent="0.25">
      <c r="A13" t="s">
        <v>61</v>
      </c>
      <c r="B13" t="s">
        <v>62</v>
      </c>
      <c r="C13" t="s">
        <v>36</v>
      </c>
      <c r="D13" t="s">
        <v>18</v>
      </c>
      <c r="E13" t="s">
        <v>30</v>
      </c>
      <c r="F13" t="s">
        <v>20</v>
      </c>
      <c r="G13" s="11">
        <v>45278</v>
      </c>
      <c r="H13" s="12">
        <v>45098</v>
      </c>
      <c r="I13" t="s">
        <v>21</v>
      </c>
      <c r="J13" t="s">
        <v>37</v>
      </c>
      <c r="K13" t="s">
        <v>38</v>
      </c>
      <c r="L13" t="s">
        <v>24</v>
      </c>
      <c r="M13" t="s">
        <v>25</v>
      </c>
      <c r="N13" t="s">
        <v>26</v>
      </c>
      <c r="O13">
        <v>216363</v>
      </c>
      <c r="P13" t="s">
        <v>18</v>
      </c>
      <c r="Q13" t="s">
        <v>878</v>
      </c>
      <c r="R13">
        <v>2023</v>
      </c>
      <c r="S13">
        <v>2</v>
      </c>
    </row>
    <row r="14" spans="1:19" x14ac:dyDescent="0.25">
      <c r="A14" t="s">
        <v>63</v>
      </c>
      <c r="B14" t="s">
        <v>64</v>
      </c>
      <c r="C14" t="s">
        <v>36</v>
      </c>
      <c r="D14" t="s">
        <v>18</v>
      </c>
      <c r="E14" t="s">
        <v>19</v>
      </c>
      <c r="F14" t="s">
        <v>20</v>
      </c>
      <c r="G14" s="11">
        <v>45288</v>
      </c>
      <c r="H14" s="12">
        <v>45108</v>
      </c>
      <c r="I14" t="s">
        <v>21</v>
      </c>
      <c r="J14" t="s">
        <v>37</v>
      </c>
      <c r="K14" t="s">
        <v>38</v>
      </c>
      <c r="L14" t="s">
        <v>46</v>
      </c>
      <c r="M14" t="s">
        <v>47</v>
      </c>
      <c r="N14" t="s">
        <v>26</v>
      </c>
      <c r="O14">
        <v>10000</v>
      </c>
      <c r="P14" t="s">
        <v>18</v>
      </c>
      <c r="Q14" t="s">
        <v>879</v>
      </c>
      <c r="R14">
        <v>2023</v>
      </c>
      <c r="S14">
        <v>3</v>
      </c>
    </row>
    <row r="15" spans="1:19" x14ac:dyDescent="0.25">
      <c r="A15" t="s">
        <v>65</v>
      </c>
      <c r="B15" t="s">
        <v>66</v>
      </c>
      <c r="C15" t="s">
        <v>36</v>
      </c>
      <c r="D15" t="s">
        <v>18</v>
      </c>
      <c r="E15" t="s">
        <v>30</v>
      </c>
      <c r="F15" t="s">
        <v>20</v>
      </c>
      <c r="G15" s="11">
        <v>45297</v>
      </c>
      <c r="H15" s="12">
        <v>45117</v>
      </c>
      <c r="I15" t="s">
        <v>21</v>
      </c>
      <c r="J15" t="s">
        <v>37</v>
      </c>
      <c r="K15" t="s">
        <v>58</v>
      </c>
      <c r="L15" t="s">
        <v>24</v>
      </c>
      <c r="M15" t="s">
        <v>25</v>
      </c>
      <c r="N15" t="s">
        <v>26</v>
      </c>
      <c r="O15">
        <v>10000</v>
      </c>
      <c r="P15" t="s">
        <v>18</v>
      </c>
      <c r="Q15" t="s">
        <v>879</v>
      </c>
      <c r="R15">
        <v>2023</v>
      </c>
      <c r="S15">
        <v>3</v>
      </c>
    </row>
    <row r="16" spans="1:19" x14ac:dyDescent="0.25">
      <c r="A16" t="s">
        <v>67</v>
      </c>
      <c r="B16" t="s">
        <v>68</v>
      </c>
      <c r="C16" t="s">
        <v>44</v>
      </c>
      <c r="D16" t="s">
        <v>18</v>
      </c>
      <c r="E16" t="s">
        <v>30</v>
      </c>
      <c r="F16" t="s">
        <v>20</v>
      </c>
      <c r="G16" s="11">
        <v>45297</v>
      </c>
      <c r="H16" s="12">
        <v>45117</v>
      </c>
      <c r="I16" t="s">
        <v>21</v>
      </c>
      <c r="J16" t="s">
        <v>37</v>
      </c>
      <c r="K16" t="s">
        <v>23</v>
      </c>
      <c r="L16" t="s">
        <v>69</v>
      </c>
      <c r="M16" t="s">
        <v>40</v>
      </c>
      <c r="N16" t="s">
        <v>26</v>
      </c>
      <c r="O16">
        <v>525</v>
      </c>
      <c r="P16" t="s">
        <v>18</v>
      </c>
      <c r="Q16" t="s">
        <v>879</v>
      </c>
      <c r="R16">
        <v>2023</v>
      </c>
      <c r="S16">
        <v>3</v>
      </c>
    </row>
    <row r="17" spans="1:19" x14ac:dyDescent="0.25">
      <c r="A17" t="s">
        <v>70</v>
      </c>
      <c r="B17" t="s">
        <v>71</v>
      </c>
      <c r="C17" t="s">
        <v>44</v>
      </c>
      <c r="D17" t="s">
        <v>18</v>
      </c>
      <c r="E17" t="s">
        <v>30</v>
      </c>
      <c r="F17" t="s">
        <v>31</v>
      </c>
      <c r="G17" s="11">
        <v>45297</v>
      </c>
      <c r="H17" s="12">
        <v>45117</v>
      </c>
      <c r="I17" t="s">
        <v>21</v>
      </c>
      <c r="J17" t="s">
        <v>37</v>
      </c>
      <c r="K17" t="s">
        <v>72</v>
      </c>
      <c r="L17" t="s">
        <v>24</v>
      </c>
      <c r="M17" t="s">
        <v>25</v>
      </c>
      <c r="N17" t="s">
        <v>26</v>
      </c>
      <c r="O17">
        <v>10000</v>
      </c>
      <c r="P17" t="s">
        <v>18</v>
      </c>
      <c r="Q17" t="s">
        <v>879</v>
      </c>
      <c r="R17">
        <v>2023</v>
      </c>
      <c r="S17">
        <v>3</v>
      </c>
    </row>
    <row r="18" spans="1:19" x14ac:dyDescent="0.25">
      <c r="A18" t="s">
        <v>73</v>
      </c>
      <c r="B18" t="s">
        <v>74</v>
      </c>
      <c r="C18" t="s">
        <v>36</v>
      </c>
      <c r="D18" t="s">
        <v>18</v>
      </c>
      <c r="E18" t="s">
        <v>75</v>
      </c>
      <c r="F18" t="s">
        <v>20</v>
      </c>
      <c r="G18" s="11">
        <v>45297</v>
      </c>
      <c r="H18" s="12">
        <v>45117</v>
      </c>
      <c r="I18" t="s">
        <v>21</v>
      </c>
      <c r="J18" t="s">
        <v>22</v>
      </c>
      <c r="K18" t="s">
        <v>23</v>
      </c>
      <c r="L18" t="s">
        <v>24</v>
      </c>
      <c r="M18" t="s">
        <v>25</v>
      </c>
      <c r="N18" t="s">
        <v>26</v>
      </c>
      <c r="O18">
        <v>15265</v>
      </c>
      <c r="P18" t="s">
        <v>18</v>
      </c>
      <c r="Q18" t="s">
        <v>879</v>
      </c>
      <c r="R18">
        <v>2023</v>
      </c>
      <c r="S18">
        <v>3</v>
      </c>
    </row>
    <row r="19" spans="1:19" x14ac:dyDescent="0.25">
      <c r="A19" t="s">
        <v>76</v>
      </c>
      <c r="B19" t="s">
        <v>77</v>
      </c>
      <c r="C19" t="s">
        <v>17</v>
      </c>
      <c r="D19" t="s">
        <v>18</v>
      </c>
      <c r="E19" t="s">
        <v>30</v>
      </c>
      <c r="F19" t="s">
        <v>20</v>
      </c>
      <c r="G19" s="11">
        <v>45297</v>
      </c>
      <c r="H19" s="12">
        <v>45117</v>
      </c>
      <c r="I19" t="s">
        <v>21</v>
      </c>
      <c r="J19" t="s">
        <v>37</v>
      </c>
      <c r="K19" t="s">
        <v>38</v>
      </c>
      <c r="L19" t="s">
        <v>24</v>
      </c>
      <c r="M19" t="s">
        <v>25</v>
      </c>
      <c r="N19" t="s">
        <v>26</v>
      </c>
      <c r="O19">
        <v>10000</v>
      </c>
      <c r="P19" t="s">
        <v>18</v>
      </c>
      <c r="Q19" t="s">
        <v>879</v>
      </c>
      <c r="R19">
        <v>2023</v>
      </c>
      <c r="S19">
        <v>3</v>
      </c>
    </row>
    <row r="20" spans="1:19" x14ac:dyDescent="0.25">
      <c r="A20" t="s">
        <v>78</v>
      </c>
      <c r="B20" t="s">
        <v>79</v>
      </c>
      <c r="C20" t="s">
        <v>80</v>
      </c>
      <c r="D20" t="s">
        <v>18</v>
      </c>
      <c r="E20" t="s">
        <v>75</v>
      </c>
      <c r="F20" t="s">
        <v>20</v>
      </c>
      <c r="G20" s="11">
        <v>45297</v>
      </c>
      <c r="H20" s="12">
        <v>45117</v>
      </c>
      <c r="I20" t="s">
        <v>81</v>
      </c>
      <c r="J20" t="s">
        <v>37</v>
      </c>
      <c r="K20" t="s">
        <v>38</v>
      </c>
      <c r="L20" t="s">
        <v>24</v>
      </c>
      <c r="M20" t="s">
        <v>25</v>
      </c>
      <c r="N20" t="s">
        <v>26</v>
      </c>
      <c r="O20">
        <v>56</v>
      </c>
      <c r="P20" t="s">
        <v>18</v>
      </c>
      <c r="Q20" t="s">
        <v>879</v>
      </c>
      <c r="R20">
        <v>2023</v>
      </c>
      <c r="S20">
        <v>3</v>
      </c>
    </row>
    <row r="21" spans="1:19" x14ac:dyDescent="0.25">
      <c r="A21" t="s">
        <v>82</v>
      </c>
      <c r="B21" t="s">
        <v>83</v>
      </c>
      <c r="C21" t="s">
        <v>17</v>
      </c>
      <c r="D21" t="s">
        <v>18</v>
      </c>
      <c r="E21" t="s">
        <v>30</v>
      </c>
      <c r="F21" t="s">
        <v>20</v>
      </c>
      <c r="G21" s="11">
        <v>45297</v>
      </c>
      <c r="H21" s="12">
        <v>45117</v>
      </c>
      <c r="I21" t="s">
        <v>21</v>
      </c>
      <c r="J21" t="s">
        <v>37</v>
      </c>
      <c r="K21" t="s">
        <v>23</v>
      </c>
      <c r="L21" t="s">
        <v>24</v>
      </c>
      <c r="M21" t="s">
        <v>25</v>
      </c>
      <c r="N21" t="s">
        <v>26</v>
      </c>
      <c r="O21">
        <v>10000</v>
      </c>
      <c r="P21" t="s">
        <v>18</v>
      </c>
      <c r="Q21" t="s">
        <v>879</v>
      </c>
      <c r="R21">
        <v>2023</v>
      </c>
      <c r="S21">
        <v>3</v>
      </c>
    </row>
    <row r="22" spans="1:19" x14ac:dyDescent="0.25">
      <c r="A22" t="s">
        <v>84</v>
      </c>
      <c r="B22" t="s">
        <v>85</v>
      </c>
      <c r="C22" t="s">
        <v>29</v>
      </c>
      <c r="D22" t="s">
        <v>18</v>
      </c>
      <c r="E22" t="s">
        <v>30</v>
      </c>
      <c r="F22" t="s">
        <v>20</v>
      </c>
      <c r="G22" s="11">
        <v>45297</v>
      </c>
      <c r="H22" s="12">
        <v>45117</v>
      </c>
      <c r="I22" t="s">
        <v>21</v>
      </c>
      <c r="J22" t="s">
        <v>22</v>
      </c>
      <c r="K22" t="s">
        <v>58</v>
      </c>
      <c r="L22" t="s">
        <v>24</v>
      </c>
      <c r="M22" t="s">
        <v>25</v>
      </c>
      <c r="N22" t="s">
        <v>26</v>
      </c>
      <c r="O22">
        <v>10000</v>
      </c>
      <c r="P22" t="s">
        <v>18</v>
      </c>
      <c r="Q22" t="s">
        <v>879</v>
      </c>
      <c r="R22">
        <v>2023</v>
      </c>
      <c r="S22">
        <v>3</v>
      </c>
    </row>
    <row r="23" spans="1:19" x14ac:dyDescent="0.25">
      <c r="A23" t="s">
        <v>86</v>
      </c>
      <c r="B23" t="s">
        <v>87</v>
      </c>
      <c r="C23" t="s">
        <v>36</v>
      </c>
      <c r="D23" t="s">
        <v>18</v>
      </c>
      <c r="E23" t="s">
        <v>75</v>
      </c>
      <c r="F23" t="s">
        <v>20</v>
      </c>
      <c r="G23" s="11">
        <v>45297</v>
      </c>
      <c r="H23" s="12">
        <v>45117</v>
      </c>
      <c r="I23" t="s">
        <v>21</v>
      </c>
      <c r="J23" t="s">
        <v>22</v>
      </c>
      <c r="K23" t="s">
        <v>38</v>
      </c>
      <c r="L23" t="s">
        <v>24</v>
      </c>
      <c r="M23" t="s">
        <v>25</v>
      </c>
      <c r="N23" t="s">
        <v>26</v>
      </c>
      <c r="O23">
        <v>1662</v>
      </c>
      <c r="P23" t="s">
        <v>18</v>
      </c>
      <c r="Q23" t="s">
        <v>879</v>
      </c>
      <c r="R23">
        <v>2023</v>
      </c>
      <c r="S23">
        <v>3</v>
      </c>
    </row>
    <row r="24" spans="1:19" x14ac:dyDescent="0.25">
      <c r="A24" t="s">
        <v>88</v>
      </c>
      <c r="B24" t="s">
        <v>89</v>
      </c>
      <c r="C24" t="s">
        <v>44</v>
      </c>
      <c r="D24" t="s">
        <v>18</v>
      </c>
      <c r="E24" t="s">
        <v>75</v>
      </c>
      <c r="F24" t="s">
        <v>20</v>
      </c>
      <c r="G24" s="11">
        <v>45297</v>
      </c>
      <c r="H24" s="12">
        <v>45117</v>
      </c>
      <c r="I24" t="s">
        <v>21</v>
      </c>
      <c r="J24" t="s">
        <v>22</v>
      </c>
      <c r="K24" t="s">
        <v>38</v>
      </c>
      <c r="L24" t="s">
        <v>24</v>
      </c>
      <c r="M24" t="s">
        <v>25</v>
      </c>
      <c r="N24" t="s">
        <v>26</v>
      </c>
      <c r="O24">
        <v>10000</v>
      </c>
      <c r="P24" t="s">
        <v>18</v>
      </c>
      <c r="Q24" t="s">
        <v>879</v>
      </c>
      <c r="R24">
        <v>2023</v>
      </c>
      <c r="S24">
        <v>3</v>
      </c>
    </row>
    <row r="25" spans="1:19" x14ac:dyDescent="0.25">
      <c r="A25" t="s">
        <v>90</v>
      </c>
      <c r="B25" t="s">
        <v>91</v>
      </c>
      <c r="C25" t="s">
        <v>36</v>
      </c>
      <c r="D25" t="s">
        <v>18</v>
      </c>
      <c r="E25" t="s">
        <v>75</v>
      </c>
      <c r="F25" t="s">
        <v>20</v>
      </c>
      <c r="G25" s="11">
        <v>45298</v>
      </c>
      <c r="H25" s="12">
        <v>45118</v>
      </c>
      <c r="I25" t="s">
        <v>21</v>
      </c>
      <c r="J25" t="s">
        <v>22</v>
      </c>
      <c r="K25" t="s">
        <v>38</v>
      </c>
      <c r="L25" t="s">
        <v>24</v>
      </c>
      <c r="M25" t="s">
        <v>25</v>
      </c>
      <c r="N25" t="s">
        <v>26</v>
      </c>
      <c r="O25">
        <v>10000</v>
      </c>
      <c r="P25" t="s">
        <v>18</v>
      </c>
      <c r="Q25" t="s">
        <v>879</v>
      </c>
      <c r="R25">
        <v>2023</v>
      </c>
      <c r="S25">
        <v>3</v>
      </c>
    </row>
    <row r="26" spans="1:19" x14ac:dyDescent="0.25">
      <c r="A26" t="s">
        <v>92</v>
      </c>
      <c r="B26" t="s">
        <v>93</v>
      </c>
      <c r="C26" t="s">
        <v>44</v>
      </c>
      <c r="D26" t="s">
        <v>18</v>
      </c>
      <c r="E26" t="s">
        <v>30</v>
      </c>
      <c r="F26" t="s">
        <v>20</v>
      </c>
      <c r="G26" s="11">
        <v>45323</v>
      </c>
      <c r="H26" s="12">
        <v>45143</v>
      </c>
      <c r="I26" t="s">
        <v>21</v>
      </c>
      <c r="J26" t="s">
        <v>37</v>
      </c>
      <c r="K26" t="s">
        <v>38</v>
      </c>
      <c r="L26" t="s">
        <v>24</v>
      </c>
      <c r="M26" t="s">
        <v>25</v>
      </c>
      <c r="N26" t="s">
        <v>26</v>
      </c>
      <c r="O26">
        <v>6232</v>
      </c>
      <c r="P26" t="s">
        <v>18</v>
      </c>
      <c r="Q26" t="s">
        <v>880</v>
      </c>
      <c r="R26">
        <v>2023</v>
      </c>
      <c r="S26">
        <v>3</v>
      </c>
    </row>
    <row r="27" spans="1:19" x14ac:dyDescent="0.25">
      <c r="A27" t="s">
        <v>94</v>
      </c>
      <c r="B27" t="s">
        <v>95</v>
      </c>
      <c r="C27" t="s">
        <v>44</v>
      </c>
      <c r="D27" t="s">
        <v>18</v>
      </c>
      <c r="E27" t="s">
        <v>30</v>
      </c>
      <c r="F27" t="s">
        <v>20</v>
      </c>
      <c r="G27" s="11">
        <v>45323</v>
      </c>
      <c r="H27" s="12">
        <v>45143</v>
      </c>
      <c r="I27" t="s">
        <v>21</v>
      </c>
      <c r="J27" t="s">
        <v>37</v>
      </c>
      <c r="K27" t="s">
        <v>32</v>
      </c>
      <c r="L27" t="s">
        <v>96</v>
      </c>
      <c r="M27" t="s">
        <v>47</v>
      </c>
      <c r="N27" t="s">
        <v>26</v>
      </c>
      <c r="O27">
        <v>10000</v>
      </c>
      <c r="P27" t="s">
        <v>18</v>
      </c>
      <c r="Q27" t="s">
        <v>880</v>
      </c>
      <c r="R27">
        <v>2023</v>
      </c>
      <c r="S27">
        <v>3</v>
      </c>
    </row>
    <row r="28" spans="1:19" x14ac:dyDescent="0.25">
      <c r="A28" t="s">
        <v>97</v>
      </c>
      <c r="B28" t="s">
        <v>98</v>
      </c>
      <c r="C28" t="s">
        <v>44</v>
      </c>
      <c r="D28" t="s">
        <v>18</v>
      </c>
      <c r="E28" t="s">
        <v>30</v>
      </c>
      <c r="F28" t="s">
        <v>20</v>
      </c>
      <c r="G28" s="11">
        <v>45356</v>
      </c>
      <c r="H28" s="12">
        <v>45176</v>
      </c>
      <c r="I28" t="s">
        <v>21</v>
      </c>
      <c r="J28" t="s">
        <v>37</v>
      </c>
      <c r="K28" t="s">
        <v>23</v>
      </c>
      <c r="L28" t="s">
        <v>24</v>
      </c>
      <c r="M28" t="s">
        <v>25</v>
      </c>
      <c r="N28" t="s">
        <v>26</v>
      </c>
      <c r="O28">
        <v>10000</v>
      </c>
      <c r="P28" t="s">
        <v>18</v>
      </c>
      <c r="Q28" t="s">
        <v>881</v>
      </c>
      <c r="R28">
        <v>2023</v>
      </c>
      <c r="S28">
        <v>3</v>
      </c>
    </row>
    <row r="29" spans="1:19" x14ac:dyDescent="0.25">
      <c r="A29" t="s">
        <v>99</v>
      </c>
      <c r="B29" t="s">
        <v>100</v>
      </c>
      <c r="C29" t="s">
        <v>17</v>
      </c>
      <c r="D29" t="s">
        <v>18</v>
      </c>
      <c r="E29" t="s">
        <v>30</v>
      </c>
      <c r="F29" t="s">
        <v>31</v>
      </c>
      <c r="G29" s="11">
        <v>45430</v>
      </c>
      <c r="H29" s="12">
        <v>45250</v>
      </c>
      <c r="I29" t="s">
        <v>21</v>
      </c>
      <c r="J29" t="s">
        <v>37</v>
      </c>
      <c r="K29" t="s">
        <v>38</v>
      </c>
      <c r="L29" t="s">
        <v>101</v>
      </c>
      <c r="M29" t="s">
        <v>102</v>
      </c>
      <c r="N29" t="s">
        <v>26</v>
      </c>
      <c r="O29">
        <v>21633</v>
      </c>
      <c r="P29" t="s">
        <v>18</v>
      </c>
      <c r="Q29" t="s">
        <v>882</v>
      </c>
      <c r="R29">
        <v>2023</v>
      </c>
      <c r="S29">
        <v>4</v>
      </c>
    </row>
    <row r="30" spans="1:19" x14ac:dyDescent="0.25">
      <c r="A30" t="s">
        <v>103</v>
      </c>
      <c r="B30" t="s">
        <v>104</v>
      </c>
      <c r="C30" t="s">
        <v>36</v>
      </c>
      <c r="D30" t="s">
        <v>18</v>
      </c>
      <c r="E30" t="s">
        <v>30</v>
      </c>
      <c r="F30" t="s">
        <v>31</v>
      </c>
      <c r="G30" s="11">
        <v>45430</v>
      </c>
      <c r="H30" s="12">
        <v>45250</v>
      </c>
      <c r="I30" t="s">
        <v>21</v>
      </c>
      <c r="J30" t="s">
        <v>37</v>
      </c>
      <c r="K30" t="s">
        <v>38</v>
      </c>
      <c r="L30" t="s">
        <v>69</v>
      </c>
      <c r="M30" t="s">
        <v>40</v>
      </c>
      <c r="N30" t="s">
        <v>26</v>
      </c>
      <c r="O30">
        <v>10000</v>
      </c>
      <c r="P30" t="s">
        <v>18</v>
      </c>
      <c r="Q30" t="s">
        <v>882</v>
      </c>
      <c r="R30">
        <v>2023</v>
      </c>
      <c r="S30">
        <v>4</v>
      </c>
    </row>
    <row r="31" spans="1:19" x14ac:dyDescent="0.25">
      <c r="A31" t="s">
        <v>105</v>
      </c>
      <c r="B31" t="s">
        <v>106</v>
      </c>
      <c r="C31" t="s">
        <v>44</v>
      </c>
      <c r="D31" t="s">
        <v>18</v>
      </c>
      <c r="E31" t="s">
        <v>19</v>
      </c>
      <c r="F31" t="s">
        <v>31</v>
      </c>
      <c r="G31" s="11">
        <v>45442</v>
      </c>
      <c r="H31" s="12">
        <v>45262</v>
      </c>
      <c r="I31" t="s">
        <v>21</v>
      </c>
      <c r="J31" t="s">
        <v>37</v>
      </c>
      <c r="K31" t="s">
        <v>58</v>
      </c>
      <c r="L31" t="s">
        <v>46</v>
      </c>
      <c r="M31" t="s">
        <v>47</v>
      </c>
      <c r="N31" t="s">
        <v>26</v>
      </c>
      <c r="O31">
        <v>10000</v>
      </c>
      <c r="P31" t="s">
        <v>18</v>
      </c>
      <c r="Q31" t="s">
        <v>883</v>
      </c>
      <c r="R31">
        <v>2023</v>
      </c>
      <c r="S31">
        <v>4</v>
      </c>
    </row>
    <row r="32" spans="1:19" x14ac:dyDescent="0.25">
      <c r="A32" t="s">
        <v>107</v>
      </c>
      <c r="B32" t="s">
        <v>108</v>
      </c>
      <c r="C32" t="s">
        <v>44</v>
      </c>
      <c r="D32" t="s">
        <v>18</v>
      </c>
      <c r="E32" t="s">
        <v>30</v>
      </c>
      <c r="F32" t="s">
        <v>31</v>
      </c>
      <c r="G32" s="11">
        <v>45449</v>
      </c>
      <c r="H32" s="12">
        <v>45269</v>
      </c>
      <c r="I32" t="s">
        <v>21</v>
      </c>
      <c r="J32" t="s">
        <v>22</v>
      </c>
      <c r="K32" t="s">
        <v>32</v>
      </c>
      <c r="L32" t="s">
        <v>24</v>
      </c>
      <c r="M32" t="s">
        <v>25</v>
      </c>
      <c r="N32" t="s">
        <v>26</v>
      </c>
      <c r="O32">
        <v>5000</v>
      </c>
      <c r="P32" t="s">
        <v>18</v>
      </c>
      <c r="Q32" t="s">
        <v>883</v>
      </c>
      <c r="R32">
        <v>2023</v>
      </c>
      <c r="S32">
        <v>4</v>
      </c>
    </row>
    <row r="33" spans="1:19" x14ac:dyDescent="0.25">
      <c r="A33" t="s">
        <v>109</v>
      </c>
      <c r="B33" t="s">
        <v>110</v>
      </c>
      <c r="C33" t="s">
        <v>36</v>
      </c>
      <c r="D33" t="s">
        <v>18</v>
      </c>
      <c r="E33" t="s">
        <v>19</v>
      </c>
      <c r="F33" t="s">
        <v>31</v>
      </c>
      <c r="G33" s="11">
        <v>45450</v>
      </c>
      <c r="H33" s="12">
        <v>45270</v>
      </c>
      <c r="I33" t="s">
        <v>21</v>
      </c>
      <c r="J33" t="s">
        <v>22</v>
      </c>
      <c r="K33" t="s">
        <v>23</v>
      </c>
      <c r="L33" t="s">
        <v>24</v>
      </c>
      <c r="M33" t="s">
        <v>25</v>
      </c>
      <c r="N33" t="s">
        <v>26</v>
      </c>
      <c r="O33">
        <v>10000</v>
      </c>
      <c r="P33" t="s">
        <v>18</v>
      </c>
      <c r="Q33" t="s">
        <v>883</v>
      </c>
      <c r="R33">
        <v>2023</v>
      </c>
      <c r="S33">
        <v>4</v>
      </c>
    </row>
    <row r="34" spans="1:19" x14ac:dyDescent="0.25">
      <c r="A34" t="s">
        <v>111</v>
      </c>
      <c r="B34" t="s">
        <v>112</v>
      </c>
      <c r="C34" t="s">
        <v>36</v>
      </c>
      <c r="D34" t="s">
        <v>18</v>
      </c>
      <c r="E34" t="s">
        <v>75</v>
      </c>
      <c r="F34" t="s">
        <v>31</v>
      </c>
      <c r="G34" s="11">
        <v>45450</v>
      </c>
      <c r="H34" s="12">
        <v>45270</v>
      </c>
      <c r="I34" t="s">
        <v>21</v>
      </c>
      <c r="J34" t="s">
        <v>22</v>
      </c>
      <c r="K34" t="s">
        <v>58</v>
      </c>
      <c r="L34" t="s">
        <v>96</v>
      </c>
      <c r="M34" t="s">
        <v>47</v>
      </c>
      <c r="N34" t="s">
        <v>26</v>
      </c>
      <c r="O34">
        <v>6211</v>
      </c>
      <c r="P34" t="s">
        <v>18</v>
      </c>
      <c r="Q34" t="s">
        <v>883</v>
      </c>
      <c r="R34">
        <v>2023</v>
      </c>
      <c r="S34">
        <v>4</v>
      </c>
    </row>
    <row r="35" spans="1:19" x14ac:dyDescent="0.25">
      <c r="A35" t="s">
        <v>113</v>
      </c>
      <c r="B35" t="s">
        <v>114</v>
      </c>
      <c r="C35" t="s">
        <v>36</v>
      </c>
      <c r="D35" t="s">
        <v>18</v>
      </c>
      <c r="E35" t="s">
        <v>75</v>
      </c>
      <c r="F35" t="s">
        <v>31</v>
      </c>
      <c r="G35" s="11">
        <v>45450</v>
      </c>
      <c r="H35" s="12">
        <v>45270</v>
      </c>
      <c r="I35" t="s">
        <v>21</v>
      </c>
      <c r="J35" t="s">
        <v>22</v>
      </c>
      <c r="K35" t="s">
        <v>115</v>
      </c>
      <c r="L35" t="s">
        <v>116</v>
      </c>
      <c r="M35" t="s">
        <v>47</v>
      </c>
      <c r="N35" t="s">
        <v>26</v>
      </c>
      <c r="O35">
        <v>36352</v>
      </c>
      <c r="P35" t="s">
        <v>18</v>
      </c>
      <c r="Q35" t="s">
        <v>883</v>
      </c>
      <c r="R35">
        <v>2023</v>
      </c>
      <c r="S35">
        <v>4</v>
      </c>
    </row>
    <row r="36" spans="1:19" x14ac:dyDescent="0.25">
      <c r="A36" t="s">
        <v>117</v>
      </c>
      <c r="B36" t="s">
        <v>118</v>
      </c>
      <c r="C36" t="s">
        <v>36</v>
      </c>
      <c r="D36" t="s">
        <v>18</v>
      </c>
      <c r="E36" t="s">
        <v>75</v>
      </c>
      <c r="F36" t="s">
        <v>31</v>
      </c>
      <c r="G36" s="11">
        <v>45450</v>
      </c>
      <c r="H36" s="12">
        <v>45270</v>
      </c>
      <c r="I36" t="s">
        <v>21</v>
      </c>
      <c r="J36" t="s">
        <v>22</v>
      </c>
      <c r="K36" t="s">
        <v>115</v>
      </c>
      <c r="L36" t="s">
        <v>119</v>
      </c>
      <c r="M36" t="s">
        <v>25</v>
      </c>
      <c r="N36" t="s">
        <v>26</v>
      </c>
      <c r="O36">
        <v>2581</v>
      </c>
      <c r="P36" t="s">
        <v>18</v>
      </c>
      <c r="Q36" t="s">
        <v>883</v>
      </c>
      <c r="R36">
        <v>2023</v>
      </c>
      <c r="S36">
        <v>4</v>
      </c>
    </row>
    <row r="37" spans="1:19" x14ac:dyDescent="0.25">
      <c r="A37" t="s">
        <v>120</v>
      </c>
      <c r="B37" t="s">
        <v>121</v>
      </c>
      <c r="C37" t="s">
        <v>36</v>
      </c>
      <c r="D37" t="s">
        <v>18</v>
      </c>
      <c r="E37" t="s">
        <v>75</v>
      </c>
      <c r="F37" t="s">
        <v>31</v>
      </c>
      <c r="G37" s="11">
        <v>45450</v>
      </c>
      <c r="H37" s="12">
        <v>45270</v>
      </c>
      <c r="I37" t="s">
        <v>21</v>
      </c>
      <c r="J37" t="s">
        <v>22</v>
      </c>
      <c r="K37" t="s">
        <v>23</v>
      </c>
      <c r="L37" t="s">
        <v>96</v>
      </c>
      <c r="M37" t="s">
        <v>47</v>
      </c>
      <c r="N37" t="s">
        <v>26</v>
      </c>
      <c r="O37">
        <v>2365</v>
      </c>
      <c r="P37" t="s">
        <v>18</v>
      </c>
      <c r="Q37" t="s">
        <v>883</v>
      </c>
      <c r="R37">
        <v>2023</v>
      </c>
      <c r="S37">
        <v>4</v>
      </c>
    </row>
    <row r="38" spans="1:19" x14ac:dyDescent="0.25">
      <c r="A38" t="s">
        <v>122</v>
      </c>
      <c r="B38" t="s">
        <v>123</v>
      </c>
      <c r="C38" t="s">
        <v>36</v>
      </c>
      <c r="D38" t="s">
        <v>18</v>
      </c>
      <c r="E38" t="s">
        <v>75</v>
      </c>
      <c r="F38" t="s">
        <v>31</v>
      </c>
      <c r="G38" s="11">
        <v>45450</v>
      </c>
      <c r="H38" s="12">
        <v>45270</v>
      </c>
      <c r="I38" t="s">
        <v>21</v>
      </c>
      <c r="J38" t="s">
        <v>37</v>
      </c>
      <c r="K38" t="s">
        <v>23</v>
      </c>
      <c r="L38" t="s">
        <v>124</v>
      </c>
      <c r="M38" t="s">
        <v>47</v>
      </c>
      <c r="N38" t="s">
        <v>26</v>
      </c>
      <c r="O38">
        <v>10000</v>
      </c>
      <c r="P38" t="s">
        <v>18</v>
      </c>
      <c r="Q38" t="s">
        <v>883</v>
      </c>
      <c r="R38">
        <v>2023</v>
      </c>
      <c r="S38">
        <v>4</v>
      </c>
    </row>
    <row r="39" spans="1:19" x14ac:dyDescent="0.25">
      <c r="A39" t="s">
        <v>125</v>
      </c>
      <c r="B39" t="s">
        <v>126</v>
      </c>
      <c r="C39" t="s">
        <v>17</v>
      </c>
      <c r="D39" t="s">
        <v>18</v>
      </c>
      <c r="E39" t="s">
        <v>75</v>
      </c>
      <c r="F39" t="s">
        <v>31</v>
      </c>
      <c r="G39" s="11">
        <v>45450</v>
      </c>
      <c r="H39" s="12">
        <v>45270</v>
      </c>
      <c r="I39" t="s">
        <v>21</v>
      </c>
      <c r="J39" t="s">
        <v>22</v>
      </c>
      <c r="K39" t="s">
        <v>23</v>
      </c>
      <c r="L39" t="s">
        <v>24</v>
      </c>
      <c r="M39" t="s">
        <v>25</v>
      </c>
      <c r="N39" t="s">
        <v>26</v>
      </c>
      <c r="O39">
        <v>10000</v>
      </c>
      <c r="P39" t="s">
        <v>18</v>
      </c>
      <c r="Q39" t="s">
        <v>883</v>
      </c>
      <c r="R39">
        <v>2023</v>
      </c>
      <c r="S39">
        <v>4</v>
      </c>
    </row>
    <row r="40" spans="1:19" x14ac:dyDescent="0.25">
      <c r="A40" t="s">
        <v>127</v>
      </c>
      <c r="B40" t="s">
        <v>128</v>
      </c>
      <c r="C40" t="s">
        <v>36</v>
      </c>
      <c r="D40" t="s">
        <v>18</v>
      </c>
      <c r="E40" t="s">
        <v>75</v>
      </c>
      <c r="F40" t="s">
        <v>31</v>
      </c>
      <c r="G40" s="11">
        <v>45450</v>
      </c>
      <c r="H40" s="12">
        <v>45270</v>
      </c>
      <c r="I40" t="s">
        <v>21</v>
      </c>
      <c r="J40" t="s">
        <v>22</v>
      </c>
      <c r="K40" t="s">
        <v>115</v>
      </c>
      <c r="L40" t="s">
        <v>24</v>
      </c>
      <c r="M40" t="s">
        <v>25</v>
      </c>
      <c r="N40" t="s">
        <v>26</v>
      </c>
      <c r="O40">
        <v>16554</v>
      </c>
      <c r="P40" t="s">
        <v>18</v>
      </c>
      <c r="Q40" t="s">
        <v>883</v>
      </c>
      <c r="R40">
        <v>2023</v>
      </c>
      <c r="S40">
        <v>4</v>
      </c>
    </row>
    <row r="41" spans="1:19" x14ac:dyDescent="0.25">
      <c r="A41" t="s">
        <v>129</v>
      </c>
      <c r="B41" t="s">
        <v>130</v>
      </c>
      <c r="C41" t="s">
        <v>36</v>
      </c>
      <c r="D41" t="s">
        <v>18</v>
      </c>
      <c r="E41" t="s">
        <v>75</v>
      </c>
      <c r="F41" t="s">
        <v>31</v>
      </c>
      <c r="G41" s="11">
        <v>45450</v>
      </c>
      <c r="H41" s="12">
        <v>45270</v>
      </c>
      <c r="I41" t="s">
        <v>21</v>
      </c>
      <c r="J41" t="s">
        <v>22</v>
      </c>
      <c r="K41" t="s">
        <v>58</v>
      </c>
      <c r="L41" t="s">
        <v>24</v>
      </c>
      <c r="M41" t="s">
        <v>25</v>
      </c>
      <c r="N41" t="s">
        <v>26</v>
      </c>
      <c r="O41">
        <v>10000</v>
      </c>
      <c r="P41" t="s">
        <v>18</v>
      </c>
      <c r="Q41" t="s">
        <v>883</v>
      </c>
      <c r="R41">
        <v>2023</v>
      </c>
      <c r="S41">
        <v>4</v>
      </c>
    </row>
    <row r="42" spans="1:19" x14ac:dyDescent="0.25">
      <c r="A42" t="s">
        <v>131</v>
      </c>
      <c r="B42" t="s">
        <v>132</v>
      </c>
      <c r="C42" t="s">
        <v>36</v>
      </c>
      <c r="D42" t="s">
        <v>18</v>
      </c>
      <c r="E42" t="s">
        <v>75</v>
      </c>
      <c r="F42" t="s">
        <v>31</v>
      </c>
      <c r="G42" s="11">
        <v>45450</v>
      </c>
      <c r="H42" s="12">
        <v>45270</v>
      </c>
      <c r="I42" t="s">
        <v>21</v>
      </c>
      <c r="J42" t="s">
        <v>37</v>
      </c>
      <c r="K42" t="s">
        <v>32</v>
      </c>
      <c r="L42" t="s">
        <v>24</v>
      </c>
      <c r="M42" t="s">
        <v>25</v>
      </c>
      <c r="N42" t="s">
        <v>26</v>
      </c>
      <c r="O42">
        <v>10000</v>
      </c>
      <c r="P42" t="s">
        <v>18</v>
      </c>
      <c r="Q42" t="s">
        <v>883</v>
      </c>
      <c r="R42">
        <v>2023</v>
      </c>
      <c r="S42">
        <v>4</v>
      </c>
    </row>
    <row r="43" spans="1:19" x14ac:dyDescent="0.25">
      <c r="A43" t="s">
        <v>133</v>
      </c>
      <c r="B43" t="s">
        <v>134</v>
      </c>
      <c r="C43" t="s">
        <v>36</v>
      </c>
      <c r="D43" t="s">
        <v>18</v>
      </c>
      <c r="E43" t="s">
        <v>75</v>
      </c>
      <c r="F43" t="s">
        <v>31</v>
      </c>
      <c r="G43" s="11">
        <v>45450</v>
      </c>
      <c r="H43" s="12">
        <v>45270</v>
      </c>
      <c r="I43" t="s">
        <v>21</v>
      </c>
      <c r="J43" t="s">
        <v>37</v>
      </c>
      <c r="K43" t="s">
        <v>23</v>
      </c>
      <c r="L43" t="s">
        <v>24</v>
      </c>
      <c r="M43" t="s">
        <v>25</v>
      </c>
      <c r="N43" t="s">
        <v>26</v>
      </c>
      <c r="O43">
        <v>10000</v>
      </c>
      <c r="P43" t="s">
        <v>18</v>
      </c>
      <c r="Q43" t="s">
        <v>883</v>
      </c>
      <c r="R43">
        <v>2023</v>
      </c>
      <c r="S43">
        <v>4</v>
      </c>
    </row>
    <row r="44" spans="1:19" x14ac:dyDescent="0.25">
      <c r="A44" t="s">
        <v>135</v>
      </c>
      <c r="B44" t="s">
        <v>136</v>
      </c>
      <c r="C44" t="s">
        <v>44</v>
      </c>
      <c r="D44" t="s">
        <v>18</v>
      </c>
      <c r="E44" t="s">
        <v>75</v>
      </c>
      <c r="F44" t="s">
        <v>31</v>
      </c>
      <c r="G44" s="11">
        <v>45450</v>
      </c>
      <c r="H44" s="12">
        <v>45270</v>
      </c>
      <c r="I44" t="s">
        <v>81</v>
      </c>
      <c r="J44" t="s">
        <v>37</v>
      </c>
      <c r="K44" t="s">
        <v>32</v>
      </c>
      <c r="L44" t="s">
        <v>24</v>
      </c>
      <c r="M44" t="s">
        <v>25</v>
      </c>
      <c r="N44" t="s">
        <v>26</v>
      </c>
      <c r="O44">
        <v>165146</v>
      </c>
      <c r="P44" t="s">
        <v>18</v>
      </c>
      <c r="Q44" t="s">
        <v>883</v>
      </c>
      <c r="R44">
        <v>2023</v>
      </c>
      <c r="S44">
        <v>4</v>
      </c>
    </row>
    <row r="45" spans="1:19" x14ac:dyDescent="0.25">
      <c r="A45" t="s">
        <v>137</v>
      </c>
      <c r="B45" t="s">
        <v>138</v>
      </c>
      <c r="C45" t="s">
        <v>17</v>
      </c>
      <c r="D45" t="s">
        <v>18</v>
      </c>
      <c r="E45" t="s">
        <v>75</v>
      </c>
      <c r="F45" t="s">
        <v>31</v>
      </c>
      <c r="G45" s="11">
        <v>45450</v>
      </c>
      <c r="H45" s="12">
        <v>45270</v>
      </c>
      <c r="I45" t="s">
        <v>21</v>
      </c>
      <c r="J45" t="s">
        <v>22</v>
      </c>
      <c r="K45" t="s">
        <v>38</v>
      </c>
      <c r="L45" t="s">
        <v>96</v>
      </c>
      <c r="M45" t="s">
        <v>47</v>
      </c>
      <c r="N45" t="s">
        <v>26</v>
      </c>
      <c r="O45">
        <v>10000</v>
      </c>
      <c r="P45" t="s">
        <v>18</v>
      </c>
      <c r="Q45" t="s">
        <v>883</v>
      </c>
      <c r="R45">
        <v>2023</v>
      </c>
      <c r="S45">
        <v>4</v>
      </c>
    </row>
    <row r="46" spans="1:19" x14ac:dyDescent="0.25">
      <c r="A46" t="s">
        <v>139</v>
      </c>
      <c r="B46" t="s">
        <v>140</v>
      </c>
      <c r="C46" t="s">
        <v>17</v>
      </c>
      <c r="D46" t="s">
        <v>18</v>
      </c>
      <c r="E46" t="s">
        <v>75</v>
      </c>
      <c r="F46" t="s">
        <v>31</v>
      </c>
      <c r="G46" s="11">
        <v>45450</v>
      </c>
      <c r="H46" s="12">
        <v>45270</v>
      </c>
      <c r="I46" t="s">
        <v>21</v>
      </c>
      <c r="J46" t="s">
        <v>22</v>
      </c>
      <c r="K46" t="s">
        <v>141</v>
      </c>
      <c r="L46" t="s">
        <v>24</v>
      </c>
      <c r="M46" t="s">
        <v>25</v>
      </c>
      <c r="N46" t="s">
        <v>26</v>
      </c>
      <c r="O46">
        <v>10000</v>
      </c>
      <c r="P46" t="s">
        <v>18</v>
      </c>
      <c r="Q46" t="s">
        <v>883</v>
      </c>
      <c r="R46">
        <v>2023</v>
      </c>
      <c r="S46">
        <v>4</v>
      </c>
    </row>
    <row r="47" spans="1:19" x14ac:dyDescent="0.25">
      <c r="A47" t="s">
        <v>142</v>
      </c>
      <c r="B47" t="s">
        <v>143</v>
      </c>
      <c r="C47" t="s">
        <v>17</v>
      </c>
      <c r="D47" t="s">
        <v>18</v>
      </c>
      <c r="E47" t="s">
        <v>75</v>
      </c>
      <c r="F47" t="s">
        <v>31</v>
      </c>
      <c r="G47" s="11">
        <v>45450</v>
      </c>
      <c r="H47" s="12">
        <v>45270</v>
      </c>
      <c r="I47" t="s">
        <v>21</v>
      </c>
      <c r="J47" t="s">
        <v>22</v>
      </c>
      <c r="K47" t="s">
        <v>23</v>
      </c>
      <c r="L47" t="s">
        <v>24</v>
      </c>
      <c r="M47" t="s">
        <v>25</v>
      </c>
      <c r="N47" t="s">
        <v>26</v>
      </c>
      <c r="O47">
        <v>215</v>
      </c>
      <c r="P47" t="s">
        <v>18</v>
      </c>
      <c r="Q47" t="s">
        <v>883</v>
      </c>
      <c r="R47">
        <v>2023</v>
      </c>
      <c r="S47">
        <v>4</v>
      </c>
    </row>
    <row r="48" spans="1:19" x14ac:dyDescent="0.25">
      <c r="A48" t="s">
        <v>144</v>
      </c>
      <c r="B48" t="s">
        <v>145</v>
      </c>
      <c r="C48" t="s">
        <v>36</v>
      </c>
      <c r="D48" t="s">
        <v>18</v>
      </c>
      <c r="E48" t="s">
        <v>75</v>
      </c>
      <c r="F48" t="s">
        <v>31</v>
      </c>
      <c r="G48" s="11">
        <v>45450</v>
      </c>
      <c r="H48" s="12">
        <v>45270</v>
      </c>
      <c r="I48" t="s">
        <v>21</v>
      </c>
      <c r="J48" t="s">
        <v>22</v>
      </c>
      <c r="K48" t="s">
        <v>38</v>
      </c>
      <c r="L48" t="s">
        <v>24</v>
      </c>
      <c r="M48" t="s">
        <v>25</v>
      </c>
      <c r="N48" t="s">
        <v>26</v>
      </c>
      <c r="O48">
        <v>10000</v>
      </c>
      <c r="P48" t="s">
        <v>18</v>
      </c>
      <c r="Q48" t="s">
        <v>883</v>
      </c>
      <c r="R48">
        <v>2023</v>
      </c>
      <c r="S48">
        <v>4</v>
      </c>
    </row>
    <row r="49" spans="1:19" x14ac:dyDescent="0.25">
      <c r="A49" t="s">
        <v>146</v>
      </c>
      <c r="B49" t="s">
        <v>147</v>
      </c>
      <c r="C49" t="s">
        <v>36</v>
      </c>
      <c r="D49" t="s">
        <v>18</v>
      </c>
      <c r="E49" t="s">
        <v>75</v>
      </c>
      <c r="F49" t="s">
        <v>31</v>
      </c>
      <c r="G49" s="11">
        <v>45450</v>
      </c>
      <c r="H49" s="12">
        <v>45270</v>
      </c>
      <c r="I49" t="s">
        <v>81</v>
      </c>
      <c r="J49" t="s">
        <v>22</v>
      </c>
      <c r="K49" t="s">
        <v>148</v>
      </c>
      <c r="L49" t="s">
        <v>96</v>
      </c>
      <c r="M49" t="s">
        <v>47</v>
      </c>
      <c r="N49" t="s">
        <v>26</v>
      </c>
      <c r="O49">
        <v>10000</v>
      </c>
      <c r="P49" t="s">
        <v>18</v>
      </c>
      <c r="Q49" t="s">
        <v>883</v>
      </c>
      <c r="R49">
        <v>2023</v>
      </c>
      <c r="S49">
        <v>4</v>
      </c>
    </row>
    <row r="50" spans="1:19" x14ac:dyDescent="0.25">
      <c r="A50" t="s">
        <v>149</v>
      </c>
      <c r="B50" t="s">
        <v>150</v>
      </c>
      <c r="C50" t="s">
        <v>36</v>
      </c>
      <c r="D50" t="s">
        <v>18</v>
      </c>
      <c r="E50" t="s">
        <v>75</v>
      </c>
      <c r="F50" t="s">
        <v>31</v>
      </c>
      <c r="G50" s="11">
        <v>45450</v>
      </c>
      <c r="H50" s="12">
        <v>45270</v>
      </c>
      <c r="I50" t="s">
        <v>21</v>
      </c>
      <c r="J50" t="s">
        <v>22</v>
      </c>
      <c r="K50" t="s">
        <v>23</v>
      </c>
      <c r="L50" t="s">
        <v>69</v>
      </c>
      <c r="M50" t="s">
        <v>40</v>
      </c>
      <c r="N50" t="s">
        <v>26</v>
      </c>
      <c r="O50">
        <v>16365</v>
      </c>
      <c r="P50" t="s">
        <v>18</v>
      </c>
      <c r="Q50" t="s">
        <v>883</v>
      </c>
      <c r="R50">
        <v>2023</v>
      </c>
      <c r="S50">
        <v>4</v>
      </c>
    </row>
    <row r="51" spans="1:19" x14ac:dyDescent="0.25">
      <c r="A51" t="s">
        <v>151</v>
      </c>
      <c r="B51" t="s">
        <v>152</v>
      </c>
      <c r="C51" t="s">
        <v>36</v>
      </c>
      <c r="D51" t="s">
        <v>18</v>
      </c>
      <c r="E51" t="s">
        <v>75</v>
      </c>
      <c r="F51" t="s">
        <v>31</v>
      </c>
      <c r="G51" s="11">
        <v>45450</v>
      </c>
      <c r="H51" s="12">
        <v>45270</v>
      </c>
      <c r="I51" t="s">
        <v>81</v>
      </c>
      <c r="J51" t="s">
        <v>22</v>
      </c>
      <c r="K51" t="s">
        <v>23</v>
      </c>
      <c r="L51" t="s">
        <v>124</v>
      </c>
      <c r="M51" t="s">
        <v>47</v>
      </c>
      <c r="N51" t="s">
        <v>26</v>
      </c>
      <c r="O51">
        <v>10000</v>
      </c>
      <c r="P51" t="s">
        <v>18</v>
      </c>
      <c r="Q51" t="s">
        <v>883</v>
      </c>
      <c r="R51">
        <v>2023</v>
      </c>
      <c r="S51">
        <v>4</v>
      </c>
    </row>
    <row r="52" spans="1:19" x14ac:dyDescent="0.25">
      <c r="A52" t="s">
        <v>153</v>
      </c>
      <c r="B52" t="s">
        <v>154</v>
      </c>
      <c r="C52" t="s">
        <v>36</v>
      </c>
      <c r="D52" t="s">
        <v>18</v>
      </c>
      <c r="E52" t="s">
        <v>75</v>
      </c>
      <c r="F52" t="s">
        <v>31</v>
      </c>
      <c r="G52" s="11">
        <v>45450</v>
      </c>
      <c r="H52" s="12">
        <v>45270</v>
      </c>
      <c r="I52" t="s">
        <v>21</v>
      </c>
      <c r="J52" t="s">
        <v>22</v>
      </c>
      <c r="K52" t="s">
        <v>115</v>
      </c>
      <c r="L52" t="s">
        <v>24</v>
      </c>
      <c r="M52" t="s">
        <v>25</v>
      </c>
      <c r="N52" t="s">
        <v>26</v>
      </c>
      <c r="O52">
        <v>10000</v>
      </c>
      <c r="P52" t="s">
        <v>18</v>
      </c>
      <c r="Q52" t="s">
        <v>883</v>
      </c>
      <c r="R52">
        <v>2023</v>
      </c>
      <c r="S52">
        <v>4</v>
      </c>
    </row>
    <row r="53" spans="1:19" x14ac:dyDescent="0.25">
      <c r="A53" t="s">
        <v>155</v>
      </c>
      <c r="B53" t="s">
        <v>156</v>
      </c>
      <c r="C53" t="s">
        <v>36</v>
      </c>
      <c r="D53" t="s">
        <v>18</v>
      </c>
      <c r="E53" t="s">
        <v>75</v>
      </c>
      <c r="F53" t="s">
        <v>31</v>
      </c>
      <c r="G53" s="11">
        <v>45450</v>
      </c>
      <c r="H53" s="12">
        <v>45270</v>
      </c>
      <c r="I53" t="s">
        <v>81</v>
      </c>
      <c r="J53" t="s">
        <v>22</v>
      </c>
      <c r="K53" t="s">
        <v>38</v>
      </c>
      <c r="L53" t="s">
        <v>96</v>
      </c>
      <c r="M53" t="s">
        <v>47</v>
      </c>
      <c r="N53" t="s">
        <v>26</v>
      </c>
      <c r="O53">
        <v>1636</v>
      </c>
      <c r="P53" t="s">
        <v>18</v>
      </c>
      <c r="Q53" t="s">
        <v>883</v>
      </c>
      <c r="R53">
        <v>2023</v>
      </c>
      <c r="S53">
        <v>4</v>
      </c>
    </row>
    <row r="54" spans="1:19" x14ac:dyDescent="0.25">
      <c r="A54" t="s">
        <v>157</v>
      </c>
      <c r="B54" t="s">
        <v>158</v>
      </c>
      <c r="C54" t="s">
        <v>36</v>
      </c>
      <c r="D54" t="s">
        <v>18</v>
      </c>
      <c r="E54" t="s">
        <v>75</v>
      </c>
      <c r="F54" t="s">
        <v>31</v>
      </c>
      <c r="G54" s="11">
        <v>45450</v>
      </c>
      <c r="H54" s="12">
        <v>45270</v>
      </c>
      <c r="I54" t="s">
        <v>81</v>
      </c>
      <c r="J54" t="s">
        <v>22</v>
      </c>
      <c r="K54" t="s">
        <v>38</v>
      </c>
      <c r="L54" t="s">
        <v>24</v>
      </c>
      <c r="M54" t="s">
        <v>25</v>
      </c>
      <c r="N54" t="s">
        <v>26</v>
      </c>
      <c r="O54">
        <v>10000</v>
      </c>
      <c r="P54" t="s">
        <v>18</v>
      </c>
      <c r="Q54" t="s">
        <v>883</v>
      </c>
      <c r="R54">
        <v>2023</v>
      </c>
      <c r="S54">
        <v>4</v>
      </c>
    </row>
    <row r="55" spans="1:19" x14ac:dyDescent="0.25">
      <c r="A55" t="s">
        <v>159</v>
      </c>
      <c r="B55" t="s">
        <v>160</v>
      </c>
      <c r="C55" t="s">
        <v>17</v>
      </c>
      <c r="D55" t="s">
        <v>18</v>
      </c>
      <c r="E55" t="s">
        <v>75</v>
      </c>
      <c r="F55" t="s">
        <v>31</v>
      </c>
      <c r="G55" s="11">
        <v>45450</v>
      </c>
      <c r="H55" s="12">
        <v>45270</v>
      </c>
      <c r="I55" t="s">
        <v>81</v>
      </c>
      <c r="J55" t="s">
        <v>22</v>
      </c>
      <c r="K55" t="s">
        <v>38</v>
      </c>
      <c r="L55" t="s">
        <v>24</v>
      </c>
      <c r="M55" t="s">
        <v>25</v>
      </c>
      <c r="N55" t="s">
        <v>26</v>
      </c>
      <c r="O55">
        <v>10000</v>
      </c>
      <c r="P55" t="s">
        <v>18</v>
      </c>
      <c r="Q55" t="s">
        <v>883</v>
      </c>
      <c r="R55">
        <v>2023</v>
      </c>
      <c r="S55">
        <v>4</v>
      </c>
    </row>
    <row r="56" spans="1:19" x14ac:dyDescent="0.25">
      <c r="A56" t="s">
        <v>161</v>
      </c>
      <c r="B56" t="s">
        <v>162</v>
      </c>
      <c r="C56" t="s">
        <v>36</v>
      </c>
      <c r="D56" t="s">
        <v>18</v>
      </c>
      <c r="E56" t="s">
        <v>75</v>
      </c>
      <c r="F56" t="s">
        <v>31</v>
      </c>
      <c r="G56" s="11">
        <v>45450</v>
      </c>
      <c r="H56" s="12">
        <v>45270</v>
      </c>
      <c r="I56" t="s">
        <v>81</v>
      </c>
      <c r="J56" t="s">
        <v>22</v>
      </c>
      <c r="K56" t="s">
        <v>38</v>
      </c>
      <c r="L56" t="s">
        <v>96</v>
      </c>
      <c r="M56" t="s">
        <v>47</v>
      </c>
      <c r="N56" t="s">
        <v>26</v>
      </c>
      <c r="O56">
        <v>2163263</v>
      </c>
      <c r="P56" t="s">
        <v>18</v>
      </c>
      <c r="Q56" t="s">
        <v>883</v>
      </c>
      <c r="R56">
        <v>2023</v>
      </c>
      <c r="S56">
        <v>4</v>
      </c>
    </row>
    <row r="57" spans="1:19" x14ac:dyDescent="0.25">
      <c r="A57" t="s">
        <v>163</v>
      </c>
      <c r="B57" t="s">
        <v>164</v>
      </c>
      <c r="C57" t="s">
        <v>36</v>
      </c>
      <c r="D57" t="s">
        <v>18</v>
      </c>
      <c r="E57" t="s">
        <v>75</v>
      </c>
      <c r="F57" t="s">
        <v>31</v>
      </c>
      <c r="G57" s="11">
        <v>45450</v>
      </c>
      <c r="H57" s="12">
        <v>45270</v>
      </c>
      <c r="I57" t="s">
        <v>81</v>
      </c>
      <c r="J57" t="s">
        <v>37</v>
      </c>
      <c r="K57" t="s">
        <v>23</v>
      </c>
      <c r="L57" t="s">
        <v>24</v>
      </c>
      <c r="M57" t="s">
        <v>25</v>
      </c>
      <c r="N57" t="s">
        <v>26</v>
      </c>
      <c r="O57">
        <v>10000</v>
      </c>
      <c r="P57" t="s">
        <v>18</v>
      </c>
      <c r="Q57" t="s">
        <v>883</v>
      </c>
      <c r="R57">
        <v>2023</v>
      </c>
      <c r="S57">
        <v>4</v>
      </c>
    </row>
    <row r="58" spans="1:19" x14ac:dyDescent="0.25">
      <c r="A58" t="s">
        <v>165</v>
      </c>
      <c r="B58" t="s">
        <v>166</v>
      </c>
      <c r="C58" t="s">
        <v>36</v>
      </c>
      <c r="D58" t="s">
        <v>18</v>
      </c>
      <c r="E58" t="s">
        <v>75</v>
      </c>
      <c r="F58" t="s">
        <v>31</v>
      </c>
      <c r="G58" s="11">
        <v>45450</v>
      </c>
      <c r="H58" s="12">
        <v>45270</v>
      </c>
      <c r="I58" t="s">
        <v>81</v>
      </c>
      <c r="J58" t="s">
        <v>22</v>
      </c>
      <c r="K58" t="s">
        <v>32</v>
      </c>
      <c r="L58" t="s">
        <v>24</v>
      </c>
      <c r="M58" t="s">
        <v>25</v>
      </c>
      <c r="N58" t="s">
        <v>26</v>
      </c>
      <c r="O58">
        <v>10000</v>
      </c>
      <c r="P58" t="s">
        <v>18</v>
      </c>
      <c r="Q58" t="s">
        <v>883</v>
      </c>
      <c r="R58">
        <v>2023</v>
      </c>
      <c r="S58">
        <v>4</v>
      </c>
    </row>
    <row r="59" spans="1:19" x14ac:dyDescent="0.25">
      <c r="A59" t="s">
        <v>167</v>
      </c>
      <c r="B59" t="s">
        <v>168</v>
      </c>
      <c r="C59" t="s">
        <v>36</v>
      </c>
      <c r="D59" t="s">
        <v>169</v>
      </c>
      <c r="E59" t="s">
        <v>75</v>
      </c>
      <c r="F59" t="s">
        <v>31</v>
      </c>
      <c r="G59" s="11">
        <v>45450</v>
      </c>
      <c r="H59" s="12">
        <v>45270</v>
      </c>
      <c r="I59" t="s">
        <v>81</v>
      </c>
      <c r="J59" t="s">
        <v>22</v>
      </c>
      <c r="K59" t="s">
        <v>23</v>
      </c>
      <c r="L59" t="s">
        <v>24</v>
      </c>
      <c r="M59" t="s">
        <v>25</v>
      </c>
      <c r="N59" t="s">
        <v>26</v>
      </c>
      <c r="O59">
        <v>2362</v>
      </c>
      <c r="P59" t="s">
        <v>872</v>
      </c>
      <c r="Q59" t="s">
        <v>883</v>
      </c>
      <c r="R59">
        <v>2023</v>
      </c>
      <c r="S59">
        <v>4</v>
      </c>
    </row>
    <row r="60" spans="1:19" x14ac:dyDescent="0.25">
      <c r="A60" t="s">
        <v>170</v>
      </c>
      <c r="B60" t="s">
        <v>171</v>
      </c>
      <c r="C60" t="s">
        <v>44</v>
      </c>
      <c r="D60" t="s">
        <v>169</v>
      </c>
      <c r="E60" t="s">
        <v>75</v>
      </c>
      <c r="F60" t="s">
        <v>31</v>
      </c>
      <c r="G60" s="11">
        <v>45450</v>
      </c>
      <c r="H60" s="12">
        <v>45270</v>
      </c>
      <c r="I60" t="s">
        <v>81</v>
      </c>
      <c r="J60" t="s">
        <v>22</v>
      </c>
      <c r="K60" t="s">
        <v>23</v>
      </c>
      <c r="L60" t="s">
        <v>172</v>
      </c>
      <c r="M60" t="s">
        <v>51</v>
      </c>
      <c r="N60" t="s">
        <v>26</v>
      </c>
      <c r="O60">
        <v>10000</v>
      </c>
      <c r="P60" t="s">
        <v>872</v>
      </c>
      <c r="Q60" t="s">
        <v>883</v>
      </c>
      <c r="R60">
        <v>2023</v>
      </c>
      <c r="S60">
        <v>4</v>
      </c>
    </row>
    <row r="61" spans="1:19" x14ac:dyDescent="0.25">
      <c r="A61" t="s">
        <v>173</v>
      </c>
      <c r="B61" t="s">
        <v>174</v>
      </c>
      <c r="C61" t="s">
        <v>36</v>
      </c>
      <c r="D61" t="s">
        <v>175</v>
      </c>
      <c r="E61" t="s">
        <v>75</v>
      </c>
      <c r="F61" t="s">
        <v>31</v>
      </c>
      <c r="G61" s="11">
        <v>45450</v>
      </c>
      <c r="H61" s="12">
        <v>45270</v>
      </c>
      <c r="I61" t="s">
        <v>81</v>
      </c>
      <c r="J61" t="s">
        <v>37</v>
      </c>
      <c r="K61" t="s">
        <v>32</v>
      </c>
      <c r="L61" t="s">
        <v>24</v>
      </c>
      <c r="M61" t="s">
        <v>25</v>
      </c>
      <c r="N61" t="s">
        <v>26</v>
      </c>
      <c r="O61">
        <v>10000</v>
      </c>
      <c r="P61" t="s">
        <v>872</v>
      </c>
      <c r="Q61" t="s">
        <v>883</v>
      </c>
      <c r="R61">
        <v>2023</v>
      </c>
      <c r="S61">
        <v>4</v>
      </c>
    </row>
    <row r="62" spans="1:19" x14ac:dyDescent="0.25">
      <c r="A62" t="s">
        <v>176</v>
      </c>
      <c r="B62" t="s">
        <v>177</v>
      </c>
      <c r="C62" t="s">
        <v>17</v>
      </c>
      <c r="D62" t="s">
        <v>175</v>
      </c>
      <c r="E62" t="s">
        <v>75</v>
      </c>
      <c r="F62" t="s">
        <v>31</v>
      </c>
      <c r="G62" s="11">
        <v>45450</v>
      </c>
      <c r="H62" s="12">
        <v>45270</v>
      </c>
      <c r="I62" t="s">
        <v>81</v>
      </c>
      <c r="J62" t="s">
        <v>37</v>
      </c>
      <c r="K62" t="s">
        <v>32</v>
      </c>
      <c r="L62" t="s">
        <v>24</v>
      </c>
      <c r="M62" t="s">
        <v>25</v>
      </c>
      <c r="N62" t="s">
        <v>26</v>
      </c>
      <c r="O62">
        <v>132</v>
      </c>
      <c r="P62" t="s">
        <v>872</v>
      </c>
      <c r="Q62" t="s">
        <v>883</v>
      </c>
      <c r="R62">
        <v>2023</v>
      </c>
      <c r="S62">
        <v>4</v>
      </c>
    </row>
    <row r="63" spans="1:19" x14ac:dyDescent="0.25">
      <c r="A63" t="s">
        <v>178</v>
      </c>
      <c r="B63" t="s">
        <v>179</v>
      </c>
      <c r="C63" t="s">
        <v>17</v>
      </c>
      <c r="D63" t="s">
        <v>180</v>
      </c>
      <c r="E63" t="s">
        <v>75</v>
      </c>
      <c r="F63" t="s">
        <v>31</v>
      </c>
      <c r="G63" s="11">
        <v>45450</v>
      </c>
      <c r="H63" s="12">
        <v>45270</v>
      </c>
      <c r="I63" t="s">
        <v>21</v>
      </c>
      <c r="J63" t="s">
        <v>22</v>
      </c>
      <c r="K63" t="s">
        <v>32</v>
      </c>
      <c r="L63" t="s">
        <v>24</v>
      </c>
      <c r="M63" t="s">
        <v>25</v>
      </c>
      <c r="N63" t="s">
        <v>26</v>
      </c>
      <c r="O63">
        <v>10000</v>
      </c>
      <c r="P63" t="s">
        <v>872</v>
      </c>
      <c r="Q63" t="s">
        <v>883</v>
      </c>
      <c r="R63">
        <v>2023</v>
      </c>
      <c r="S63">
        <v>4</v>
      </c>
    </row>
    <row r="64" spans="1:19" x14ac:dyDescent="0.25">
      <c r="A64" t="s">
        <v>181</v>
      </c>
      <c r="B64" t="s">
        <v>182</v>
      </c>
      <c r="C64" t="s">
        <v>36</v>
      </c>
      <c r="D64" t="s">
        <v>169</v>
      </c>
      <c r="E64" t="s">
        <v>75</v>
      </c>
      <c r="F64" t="s">
        <v>31</v>
      </c>
      <c r="G64" s="11">
        <v>45450</v>
      </c>
      <c r="H64" s="12">
        <v>45270</v>
      </c>
      <c r="I64" t="s">
        <v>21</v>
      </c>
      <c r="J64" t="s">
        <v>37</v>
      </c>
      <c r="K64" t="s">
        <v>38</v>
      </c>
      <c r="L64" t="s">
        <v>24</v>
      </c>
      <c r="M64" t="s">
        <v>25</v>
      </c>
      <c r="N64" t="s">
        <v>26</v>
      </c>
      <c r="O64">
        <v>10000</v>
      </c>
      <c r="P64" t="s">
        <v>872</v>
      </c>
      <c r="Q64" t="s">
        <v>883</v>
      </c>
      <c r="R64">
        <v>2023</v>
      </c>
      <c r="S64">
        <v>4</v>
      </c>
    </row>
    <row r="65" spans="1:19" x14ac:dyDescent="0.25">
      <c r="A65" t="s">
        <v>183</v>
      </c>
      <c r="B65" t="s">
        <v>184</v>
      </c>
      <c r="C65" t="s">
        <v>36</v>
      </c>
      <c r="D65" t="s">
        <v>169</v>
      </c>
      <c r="E65" t="s">
        <v>75</v>
      </c>
      <c r="F65" t="s">
        <v>31</v>
      </c>
      <c r="G65" s="11">
        <v>45450</v>
      </c>
      <c r="H65" s="12">
        <v>45270</v>
      </c>
      <c r="I65" t="s">
        <v>81</v>
      </c>
      <c r="J65" t="s">
        <v>22</v>
      </c>
      <c r="K65" t="s">
        <v>38</v>
      </c>
      <c r="L65" t="s">
        <v>24</v>
      </c>
      <c r="M65" t="s">
        <v>25</v>
      </c>
      <c r="N65" t="s">
        <v>26</v>
      </c>
      <c r="O65">
        <v>232</v>
      </c>
      <c r="P65" t="s">
        <v>872</v>
      </c>
      <c r="Q65" t="s">
        <v>883</v>
      </c>
      <c r="R65">
        <v>2023</v>
      </c>
      <c r="S65">
        <v>4</v>
      </c>
    </row>
    <row r="66" spans="1:19" x14ac:dyDescent="0.25">
      <c r="A66" t="s">
        <v>185</v>
      </c>
      <c r="B66" t="s">
        <v>186</v>
      </c>
      <c r="C66" t="s">
        <v>36</v>
      </c>
      <c r="D66" t="s">
        <v>169</v>
      </c>
      <c r="E66" t="s">
        <v>75</v>
      </c>
      <c r="F66" t="s">
        <v>31</v>
      </c>
      <c r="G66" s="11">
        <v>45450</v>
      </c>
      <c r="H66" s="12">
        <v>45270</v>
      </c>
      <c r="I66" t="s">
        <v>81</v>
      </c>
      <c r="J66" t="s">
        <v>22</v>
      </c>
      <c r="K66" t="s">
        <v>38</v>
      </c>
      <c r="L66" t="s">
        <v>96</v>
      </c>
      <c r="M66" t="s">
        <v>47</v>
      </c>
      <c r="N66" t="s">
        <v>26</v>
      </c>
      <c r="O66">
        <v>10000</v>
      </c>
      <c r="P66" t="s">
        <v>872</v>
      </c>
      <c r="Q66" t="s">
        <v>883</v>
      </c>
      <c r="R66">
        <v>2023</v>
      </c>
      <c r="S66">
        <v>4</v>
      </c>
    </row>
    <row r="67" spans="1:19" x14ac:dyDescent="0.25">
      <c r="A67" t="s">
        <v>187</v>
      </c>
      <c r="B67" t="s">
        <v>188</v>
      </c>
      <c r="C67" t="s">
        <v>44</v>
      </c>
      <c r="D67" t="s">
        <v>169</v>
      </c>
      <c r="E67" t="s">
        <v>75</v>
      </c>
      <c r="F67" t="s">
        <v>31</v>
      </c>
      <c r="G67" s="11">
        <v>45450</v>
      </c>
      <c r="H67" s="12">
        <v>45270</v>
      </c>
      <c r="I67" t="s">
        <v>81</v>
      </c>
      <c r="J67" t="s">
        <v>22</v>
      </c>
      <c r="K67" t="s">
        <v>115</v>
      </c>
      <c r="L67" t="s">
        <v>96</v>
      </c>
      <c r="M67" t="s">
        <v>47</v>
      </c>
      <c r="N67" t="s">
        <v>26</v>
      </c>
      <c r="O67">
        <v>10000</v>
      </c>
      <c r="P67" t="s">
        <v>872</v>
      </c>
      <c r="Q67" t="s">
        <v>883</v>
      </c>
      <c r="R67">
        <v>2023</v>
      </c>
      <c r="S67">
        <v>4</v>
      </c>
    </row>
    <row r="68" spans="1:19" x14ac:dyDescent="0.25">
      <c r="A68" t="s">
        <v>189</v>
      </c>
      <c r="B68" t="s">
        <v>190</v>
      </c>
      <c r="C68" t="s">
        <v>36</v>
      </c>
      <c r="D68" t="s">
        <v>169</v>
      </c>
      <c r="E68" t="s">
        <v>75</v>
      </c>
      <c r="F68" t="s">
        <v>31</v>
      </c>
      <c r="G68" s="11">
        <v>45450</v>
      </c>
      <c r="H68" s="12">
        <v>45270</v>
      </c>
      <c r="I68" t="s">
        <v>21</v>
      </c>
      <c r="J68" t="s">
        <v>22</v>
      </c>
      <c r="K68" t="s">
        <v>38</v>
      </c>
      <c r="L68" t="s">
        <v>191</v>
      </c>
      <c r="M68" t="s">
        <v>40</v>
      </c>
      <c r="N68" t="s">
        <v>26</v>
      </c>
      <c r="O68">
        <v>215</v>
      </c>
      <c r="P68" t="s">
        <v>872</v>
      </c>
      <c r="Q68" t="s">
        <v>883</v>
      </c>
      <c r="R68">
        <v>2023</v>
      </c>
      <c r="S68">
        <v>4</v>
      </c>
    </row>
    <row r="69" spans="1:19" x14ac:dyDescent="0.25">
      <c r="A69" t="s">
        <v>192</v>
      </c>
      <c r="B69" t="s">
        <v>193</v>
      </c>
      <c r="C69" t="s">
        <v>17</v>
      </c>
      <c r="D69" t="s">
        <v>194</v>
      </c>
      <c r="E69" t="s">
        <v>75</v>
      </c>
      <c r="F69" t="s">
        <v>31</v>
      </c>
      <c r="G69" s="11">
        <v>45450</v>
      </c>
      <c r="H69" s="12">
        <v>45270</v>
      </c>
      <c r="I69" t="s">
        <v>21</v>
      </c>
      <c r="J69" t="s">
        <v>22</v>
      </c>
      <c r="K69" t="s">
        <v>23</v>
      </c>
      <c r="L69" t="s">
        <v>24</v>
      </c>
      <c r="M69" t="s">
        <v>25</v>
      </c>
      <c r="N69" t="s">
        <v>26</v>
      </c>
      <c r="O69">
        <v>20000</v>
      </c>
      <c r="P69" t="s">
        <v>872</v>
      </c>
      <c r="Q69" t="s">
        <v>883</v>
      </c>
      <c r="R69">
        <v>2023</v>
      </c>
      <c r="S69">
        <v>4</v>
      </c>
    </row>
    <row r="70" spans="1:19" x14ac:dyDescent="0.25">
      <c r="A70" t="s">
        <v>195</v>
      </c>
      <c r="B70" t="s">
        <v>196</v>
      </c>
      <c r="C70" t="s">
        <v>17</v>
      </c>
      <c r="D70" t="s">
        <v>175</v>
      </c>
      <c r="E70" t="s">
        <v>75</v>
      </c>
      <c r="F70" t="s">
        <v>31</v>
      </c>
      <c r="G70" s="11">
        <v>45450</v>
      </c>
      <c r="H70" s="12">
        <v>45270</v>
      </c>
      <c r="I70" t="s">
        <v>21</v>
      </c>
      <c r="J70" t="s">
        <v>22</v>
      </c>
      <c r="K70" t="s">
        <v>32</v>
      </c>
      <c r="L70" t="s">
        <v>24</v>
      </c>
      <c r="M70" t="s">
        <v>25</v>
      </c>
      <c r="N70" t="s">
        <v>26</v>
      </c>
      <c r="O70">
        <v>155</v>
      </c>
      <c r="P70" t="s">
        <v>872</v>
      </c>
      <c r="Q70" t="s">
        <v>883</v>
      </c>
      <c r="R70">
        <v>2023</v>
      </c>
      <c r="S70">
        <v>4</v>
      </c>
    </row>
    <row r="71" spans="1:19" x14ac:dyDescent="0.25">
      <c r="A71" t="s">
        <v>197</v>
      </c>
      <c r="B71" t="s">
        <v>198</v>
      </c>
      <c r="C71" t="s">
        <v>17</v>
      </c>
      <c r="D71" t="s">
        <v>199</v>
      </c>
      <c r="E71" t="s">
        <v>75</v>
      </c>
      <c r="F71" t="s">
        <v>31</v>
      </c>
      <c r="G71" s="11">
        <v>45450</v>
      </c>
      <c r="H71" s="12">
        <v>45270</v>
      </c>
      <c r="I71" t="s">
        <v>21</v>
      </c>
      <c r="J71" t="s">
        <v>37</v>
      </c>
      <c r="K71" t="s">
        <v>38</v>
      </c>
      <c r="L71" t="s">
        <v>24</v>
      </c>
      <c r="M71" t="s">
        <v>25</v>
      </c>
      <c r="N71" t="s">
        <v>26</v>
      </c>
      <c r="O71">
        <v>20000</v>
      </c>
      <c r="P71" t="s">
        <v>872</v>
      </c>
      <c r="Q71" t="s">
        <v>883</v>
      </c>
      <c r="R71">
        <v>2023</v>
      </c>
      <c r="S71">
        <v>4</v>
      </c>
    </row>
    <row r="72" spans="1:19" x14ac:dyDescent="0.25">
      <c r="A72" t="s">
        <v>200</v>
      </c>
      <c r="B72" t="s">
        <v>201</v>
      </c>
      <c r="C72" t="s">
        <v>17</v>
      </c>
      <c r="D72" t="s">
        <v>202</v>
      </c>
      <c r="E72" t="s">
        <v>75</v>
      </c>
      <c r="F72" t="s">
        <v>31</v>
      </c>
      <c r="G72" s="11">
        <v>45450</v>
      </c>
      <c r="H72" s="12">
        <v>45270</v>
      </c>
      <c r="I72" t="s">
        <v>21</v>
      </c>
      <c r="J72" t="s">
        <v>22</v>
      </c>
      <c r="K72" t="s">
        <v>38</v>
      </c>
      <c r="L72" t="s">
        <v>24</v>
      </c>
      <c r="M72" t="s">
        <v>25</v>
      </c>
      <c r="N72" t="s">
        <v>26</v>
      </c>
      <c r="O72">
        <v>20000</v>
      </c>
      <c r="P72" t="s">
        <v>872</v>
      </c>
      <c r="Q72" t="s">
        <v>883</v>
      </c>
      <c r="R72">
        <v>2023</v>
      </c>
      <c r="S72">
        <v>4</v>
      </c>
    </row>
    <row r="73" spans="1:19" x14ac:dyDescent="0.25">
      <c r="A73" t="s">
        <v>203</v>
      </c>
      <c r="B73" t="s">
        <v>204</v>
      </c>
      <c r="C73" t="s">
        <v>205</v>
      </c>
      <c r="D73" t="s">
        <v>18</v>
      </c>
      <c r="E73" t="s">
        <v>75</v>
      </c>
      <c r="F73" t="s">
        <v>31</v>
      </c>
      <c r="G73" s="11">
        <v>45450</v>
      </c>
      <c r="H73" s="12">
        <v>45270</v>
      </c>
      <c r="I73" t="s">
        <v>21</v>
      </c>
      <c r="J73" t="s">
        <v>22</v>
      </c>
      <c r="K73" t="s">
        <v>38</v>
      </c>
      <c r="L73" t="s">
        <v>24</v>
      </c>
      <c r="M73" t="s">
        <v>25</v>
      </c>
      <c r="N73" t="s">
        <v>26</v>
      </c>
      <c r="O73">
        <v>26526</v>
      </c>
      <c r="P73" t="s">
        <v>18</v>
      </c>
      <c r="Q73" t="s">
        <v>883</v>
      </c>
      <c r="R73">
        <v>2023</v>
      </c>
      <c r="S73">
        <v>4</v>
      </c>
    </row>
    <row r="74" spans="1:19" x14ac:dyDescent="0.25">
      <c r="A74" t="s">
        <v>206</v>
      </c>
      <c r="B74" t="s">
        <v>207</v>
      </c>
      <c r="C74" t="s">
        <v>17</v>
      </c>
      <c r="D74" t="s">
        <v>18</v>
      </c>
      <c r="E74" t="s">
        <v>75</v>
      </c>
      <c r="F74" t="s">
        <v>31</v>
      </c>
      <c r="G74" s="11">
        <v>45450</v>
      </c>
      <c r="H74" s="12">
        <v>45270</v>
      </c>
      <c r="I74" t="s">
        <v>21</v>
      </c>
      <c r="J74" t="s">
        <v>37</v>
      </c>
      <c r="K74" t="s">
        <v>58</v>
      </c>
      <c r="L74" t="s">
        <v>96</v>
      </c>
      <c r="M74" t="s">
        <v>47</v>
      </c>
      <c r="N74" t="s">
        <v>26</v>
      </c>
      <c r="O74">
        <v>10000</v>
      </c>
      <c r="P74" t="s">
        <v>18</v>
      </c>
      <c r="Q74" t="s">
        <v>883</v>
      </c>
      <c r="R74">
        <v>2023</v>
      </c>
      <c r="S74">
        <v>4</v>
      </c>
    </row>
    <row r="75" spans="1:19" x14ac:dyDescent="0.25">
      <c r="A75" t="s">
        <v>208</v>
      </c>
      <c r="B75" t="s">
        <v>209</v>
      </c>
      <c r="C75" t="s">
        <v>205</v>
      </c>
      <c r="D75" t="s">
        <v>18</v>
      </c>
      <c r="E75" t="s">
        <v>75</v>
      </c>
      <c r="F75" t="s">
        <v>31</v>
      </c>
      <c r="G75" s="11">
        <v>45450</v>
      </c>
      <c r="H75" s="12">
        <v>45270</v>
      </c>
      <c r="I75" t="s">
        <v>21</v>
      </c>
      <c r="J75" t="s">
        <v>22</v>
      </c>
      <c r="K75" t="s">
        <v>32</v>
      </c>
      <c r="L75" t="s">
        <v>24</v>
      </c>
      <c r="M75" t="s">
        <v>25</v>
      </c>
      <c r="N75" t="s">
        <v>26</v>
      </c>
      <c r="O75">
        <v>10000</v>
      </c>
      <c r="P75" t="s">
        <v>18</v>
      </c>
      <c r="Q75" t="s">
        <v>883</v>
      </c>
      <c r="R75">
        <v>2023</v>
      </c>
      <c r="S75">
        <v>4</v>
      </c>
    </row>
    <row r="76" spans="1:19" x14ac:dyDescent="0.25">
      <c r="A76" t="s">
        <v>210</v>
      </c>
      <c r="B76" t="s">
        <v>211</v>
      </c>
      <c r="C76" t="s">
        <v>17</v>
      </c>
      <c r="D76" t="s">
        <v>18</v>
      </c>
      <c r="E76" t="s">
        <v>75</v>
      </c>
      <c r="F76" t="s">
        <v>31</v>
      </c>
      <c r="G76" s="11">
        <v>45450</v>
      </c>
      <c r="H76" s="12">
        <v>45270</v>
      </c>
      <c r="I76" t="s">
        <v>21</v>
      </c>
      <c r="J76" t="s">
        <v>22</v>
      </c>
      <c r="K76" t="s">
        <v>23</v>
      </c>
      <c r="L76" t="s">
        <v>96</v>
      </c>
      <c r="M76" t="s">
        <v>47</v>
      </c>
      <c r="N76" t="s">
        <v>26</v>
      </c>
      <c r="O76">
        <v>262</v>
      </c>
      <c r="P76" t="s">
        <v>18</v>
      </c>
      <c r="Q76" t="s">
        <v>883</v>
      </c>
      <c r="R76">
        <v>2023</v>
      </c>
      <c r="S76">
        <v>4</v>
      </c>
    </row>
    <row r="77" spans="1:19" x14ac:dyDescent="0.25">
      <c r="A77" t="s">
        <v>212</v>
      </c>
      <c r="B77" t="s">
        <v>213</v>
      </c>
      <c r="C77" t="s">
        <v>36</v>
      </c>
      <c r="D77" t="s">
        <v>18</v>
      </c>
      <c r="E77" t="s">
        <v>75</v>
      </c>
      <c r="F77" t="s">
        <v>31</v>
      </c>
      <c r="G77" s="11">
        <v>45451</v>
      </c>
      <c r="H77" s="12">
        <v>45271</v>
      </c>
      <c r="I77" t="s">
        <v>81</v>
      </c>
      <c r="J77" t="s">
        <v>22</v>
      </c>
      <c r="K77" t="s">
        <v>38</v>
      </c>
      <c r="L77" t="s">
        <v>124</v>
      </c>
      <c r="M77" t="s">
        <v>47</v>
      </c>
      <c r="N77" t="s">
        <v>26</v>
      </c>
      <c r="O77">
        <v>10000</v>
      </c>
      <c r="P77" t="s">
        <v>18</v>
      </c>
      <c r="Q77" t="s">
        <v>883</v>
      </c>
      <c r="R77">
        <v>2023</v>
      </c>
      <c r="S77">
        <v>4</v>
      </c>
    </row>
    <row r="78" spans="1:19" x14ac:dyDescent="0.25">
      <c r="A78" t="s">
        <v>214</v>
      </c>
      <c r="B78" t="s">
        <v>215</v>
      </c>
      <c r="C78" t="s">
        <v>44</v>
      </c>
      <c r="D78" t="s">
        <v>18</v>
      </c>
      <c r="E78" t="s">
        <v>75</v>
      </c>
      <c r="F78" t="s">
        <v>31</v>
      </c>
      <c r="G78" s="11">
        <v>45451</v>
      </c>
      <c r="H78" s="12">
        <v>45271</v>
      </c>
      <c r="I78" t="s">
        <v>21</v>
      </c>
      <c r="J78" t="s">
        <v>22</v>
      </c>
      <c r="K78" t="s">
        <v>38</v>
      </c>
      <c r="L78" t="s">
        <v>96</v>
      </c>
      <c r="M78" t="s">
        <v>47</v>
      </c>
      <c r="N78" t="s">
        <v>26</v>
      </c>
      <c r="O78">
        <v>10000</v>
      </c>
      <c r="P78" t="s">
        <v>18</v>
      </c>
      <c r="Q78" t="s">
        <v>883</v>
      </c>
      <c r="R78">
        <v>2023</v>
      </c>
      <c r="S78">
        <v>4</v>
      </c>
    </row>
    <row r="79" spans="1:19" x14ac:dyDescent="0.25">
      <c r="A79" t="s">
        <v>216</v>
      </c>
      <c r="B79" t="s">
        <v>217</v>
      </c>
      <c r="C79" t="s">
        <v>44</v>
      </c>
      <c r="D79" t="s">
        <v>18</v>
      </c>
      <c r="E79" t="s">
        <v>75</v>
      </c>
      <c r="F79" t="s">
        <v>31</v>
      </c>
      <c r="G79" s="11">
        <v>45451</v>
      </c>
      <c r="H79" s="12">
        <v>45271</v>
      </c>
      <c r="I79" t="s">
        <v>21</v>
      </c>
      <c r="J79" t="s">
        <v>22</v>
      </c>
      <c r="K79" t="s">
        <v>58</v>
      </c>
      <c r="L79" t="s">
        <v>96</v>
      </c>
      <c r="M79" t="s">
        <v>47</v>
      </c>
      <c r="N79" t="s">
        <v>26</v>
      </c>
      <c r="O79">
        <v>1626</v>
      </c>
      <c r="P79" t="s">
        <v>18</v>
      </c>
      <c r="Q79" t="s">
        <v>883</v>
      </c>
      <c r="R79">
        <v>2023</v>
      </c>
      <c r="S79">
        <v>4</v>
      </c>
    </row>
    <row r="80" spans="1:19" x14ac:dyDescent="0.25">
      <c r="A80" t="s">
        <v>218</v>
      </c>
      <c r="B80" t="s">
        <v>219</v>
      </c>
      <c r="C80" t="s">
        <v>36</v>
      </c>
      <c r="D80" t="s">
        <v>18</v>
      </c>
      <c r="E80" t="s">
        <v>75</v>
      </c>
      <c r="F80" t="s">
        <v>31</v>
      </c>
      <c r="G80" s="11">
        <v>45451</v>
      </c>
      <c r="H80" s="12">
        <v>45271</v>
      </c>
      <c r="I80" t="s">
        <v>21</v>
      </c>
      <c r="J80" t="s">
        <v>22</v>
      </c>
      <c r="K80" t="s">
        <v>23</v>
      </c>
      <c r="L80" t="s">
        <v>220</v>
      </c>
      <c r="M80" t="s">
        <v>25</v>
      </c>
      <c r="N80" t="s">
        <v>26</v>
      </c>
      <c r="O80">
        <v>10000</v>
      </c>
      <c r="P80" t="s">
        <v>18</v>
      </c>
      <c r="Q80" t="s">
        <v>883</v>
      </c>
      <c r="R80">
        <v>2023</v>
      </c>
      <c r="S80">
        <v>4</v>
      </c>
    </row>
    <row r="81" spans="1:19" x14ac:dyDescent="0.25">
      <c r="A81" t="s">
        <v>221</v>
      </c>
      <c r="B81" t="s">
        <v>222</v>
      </c>
      <c r="C81" t="s">
        <v>36</v>
      </c>
      <c r="D81" t="s">
        <v>18</v>
      </c>
      <c r="E81" t="s">
        <v>75</v>
      </c>
      <c r="F81" t="s">
        <v>31</v>
      </c>
      <c r="G81" s="11">
        <v>45451</v>
      </c>
      <c r="H81" s="12">
        <v>45271</v>
      </c>
      <c r="I81" t="s">
        <v>21</v>
      </c>
      <c r="J81" t="s">
        <v>22</v>
      </c>
      <c r="K81" t="s">
        <v>38</v>
      </c>
      <c r="L81" t="s">
        <v>220</v>
      </c>
      <c r="M81" t="s">
        <v>25</v>
      </c>
      <c r="N81" t="s">
        <v>26</v>
      </c>
      <c r="O81">
        <v>10000</v>
      </c>
      <c r="P81" t="s">
        <v>18</v>
      </c>
      <c r="Q81" t="s">
        <v>883</v>
      </c>
      <c r="R81">
        <v>2023</v>
      </c>
      <c r="S81">
        <v>4</v>
      </c>
    </row>
    <row r="82" spans="1:19" x14ac:dyDescent="0.25">
      <c r="A82" t="s">
        <v>223</v>
      </c>
      <c r="B82" t="s">
        <v>224</v>
      </c>
      <c r="C82" t="s">
        <v>44</v>
      </c>
      <c r="D82" t="s">
        <v>18</v>
      </c>
      <c r="E82" t="s">
        <v>75</v>
      </c>
      <c r="F82" t="s">
        <v>31</v>
      </c>
      <c r="G82" s="11">
        <v>45451</v>
      </c>
      <c r="H82" s="12">
        <v>45271</v>
      </c>
      <c r="I82" t="s">
        <v>21</v>
      </c>
      <c r="J82" t="s">
        <v>22</v>
      </c>
      <c r="K82" t="s">
        <v>115</v>
      </c>
      <c r="L82" t="s">
        <v>225</v>
      </c>
      <c r="M82" t="s">
        <v>47</v>
      </c>
      <c r="N82" t="s">
        <v>26</v>
      </c>
      <c r="O82">
        <v>266</v>
      </c>
      <c r="P82" t="s">
        <v>18</v>
      </c>
      <c r="Q82" t="s">
        <v>883</v>
      </c>
      <c r="R82">
        <v>2023</v>
      </c>
      <c r="S82">
        <v>4</v>
      </c>
    </row>
    <row r="83" spans="1:19" x14ac:dyDescent="0.25">
      <c r="A83" t="s">
        <v>226</v>
      </c>
      <c r="B83" t="s">
        <v>227</v>
      </c>
      <c r="C83" t="s">
        <v>44</v>
      </c>
      <c r="D83" t="s">
        <v>18</v>
      </c>
      <c r="E83" t="s">
        <v>75</v>
      </c>
      <c r="F83" t="s">
        <v>31</v>
      </c>
      <c r="G83" s="11">
        <v>45451</v>
      </c>
      <c r="H83" s="12">
        <v>45271</v>
      </c>
      <c r="I83" t="s">
        <v>21</v>
      </c>
      <c r="J83" t="s">
        <v>22</v>
      </c>
      <c r="K83" t="s">
        <v>32</v>
      </c>
      <c r="L83" t="s">
        <v>220</v>
      </c>
      <c r="M83" t="s">
        <v>25</v>
      </c>
      <c r="N83" t="s">
        <v>26</v>
      </c>
      <c r="O83">
        <v>10000</v>
      </c>
      <c r="P83" t="s">
        <v>18</v>
      </c>
      <c r="Q83" t="s">
        <v>883</v>
      </c>
      <c r="R83">
        <v>2023</v>
      </c>
      <c r="S83">
        <v>4</v>
      </c>
    </row>
    <row r="84" spans="1:19" x14ac:dyDescent="0.25">
      <c r="A84" t="s">
        <v>228</v>
      </c>
      <c r="B84" t="s">
        <v>229</v>
      </c>
      <c r="C84" t="s">
        <v>44</v>
      </c>
      <c r="D84" t="s">
        <v>45</v>
      </c>
      <c r="E84" t="s">
        <v>75</v>
      </c>
      <c r="F84" t="s">
        <v>31</v>
      </c>
      <c r="G84" s="11">
        <v>45451</v>
      </c>
      <c r="H84" s="12">
        <v>45271</v>
      </c>
      <c r="I84" t="s">
        <v>21</v>
      </c>
      <c r="J84" t="s">
        <v>37</v>
      </c>
      <c r="K84" t="s">
        <v>115</v>
      </c>
      <c r="L84" t="s">
        <v>24</v>
      </c>
      <c r="M84" t="s">
        <v>25</v>
      </c>
      <c r="N84" t="s">
        <v>26</v>
      </c>
      <c r="O84">
        <v>10000</v>
      </c>
      <c r="P84" t="s">
        <v>872</v>
      </c>
      <c r="Q84" t="s">
        <v>883</v>
      </c>
      <c r="R84">
        <v>2023</v>
      </c>
      <c r="S84">
        <v>4</v>
      </c>
    </row>
    <row r="85" spans="1:19" x14ac:dyDescent="0.25">
      <c r="A85" t="s">
        <v>230</v>
      </c>
      <c r="B85" t="s">
        <v>231</v>
      </c>
      <c r="C85" t="s">
        <v>44</v>
      </c>
      <c r="D85" t="s">
        <v>18</v>
      </c>
      <c r="E85" t="s">
        <v>75</v>
      </c>
      <c r="F85" t="s">
        <v>31</v>
      </c>
      <c r="G85" s="11">
        <v>45451</v>
      </c>
      <c r="H85" s="12">
        <v>45271</v>
      </c>
      <c r="I85" t="s">
        <v>21</v>
      </c>
      <c r="J85" t="s">
        <v>22</v>
      </c>
      <c r="K85" t="s">
        <v>115</v>
      </c>
      <c r="L85" t="s">
        <v>24</v>
      </c>
      <c r="M85" t="s">
        <v>25</v>
      </c>
      <c r="N85" t="s">
        <v>26</v>
      </c>
      <c r="O85">
        <v>16</v>
      </c>
      <c r="P85" t="s">
        <v>18</v>
      </c>
      <c r="Q85" t="s">
        <v>883</v>
      </c>
      <c r="R85">
        <v>2023</v>
      </c>
      <c r="S85">
        <v>4</v>
      </c>
    </row>
    <row r="86" spans="1:19" x14ac:dyDescent="0.25">
      <c r="A86" t="s">
        <v>232</v>
      </c>
      <c r="B86" t="s">
        <v>233</v>
      </c>
      <c r="C86" t="s">
        <v>44</v>
      </c>
      <c r="D86" t="s">
        <v>18</v>
      </c>
      <c r="E86" t="s">
        <v>75</v>
      </c>
      <c r="F86" t="s">
        <v>31</v>
      </c>
      <c r="G86" s="11">
        <v>45451</v>
      </c>
      <c r="H86" s="12">
        <v>45271</v>
      </c>
      <c r="I86" t="s">
        <v>21</v>
      </c>
      <c r="J86" t="s">
        <v>22</v>
      </c>
      <c r="K86" t="s">
        <v>32</v>
      </c>
      <c r="L86" t="s">
        <v>24</v>
      </c>
      <c r="M86" t="s">
        <v>25</v>
      </c>
      <c r="N86" t="s">
        <v>26</v>
      </c>
      <c r="O86">
        <v>1000</v>
      </c>
      <c r="P86" t="s">
        <v>18</v>
      </c>
      <c r="Q86" t="s">
        <v>883</v>
      </c>
      <c r="R86">
        <v>2023</v>
      </c>
      <c r="S86">
        <v>4</v>
      </c>
    </row>
    <row r="87" spans="1:19" x14ac:dyDescent="0.25">
      <c r="A87" t="s">
        <v>234</v>
      </c>
      <c r="B87" t="s">
        <v>235</v>
      </c>
      <c r="C87" t="s">
        <v>36</v>
      </c>
      <c r="D87" t="s">
        <v>18</v>
      </c>
      <c r="E87" t="s">
        <v>75</v>
      </c>
      <c r="F87" t="s">
        <v>31</v>
      </c>
      <c r="G87" s="11">
        <v>45451</v>
      </c>
      <c r="H87" s="12">
        <v>45271</v>
      </c>
      <c r="I87" t="s">
        <v>21</v>
      </c>
      <c r="J87" t="s">
        <v>22</v>
      </c>
      <c r="K87" t="s">
        <v>32</v>
      </c>
      <c r="L87" t="s">
        <v>24</v>
      </c>
      <c r="M87" t="s">
        <v>25</v>
      </c>
      <c r="N87" t="s">
        <v>26</v>
      </c>
      <c r="O87">
        <v>1000</v>
      </c>
      <c r="P87" t="s">
        <v>18</v>
      </c>
      <c r="Q87" t="s">
        <v>883</v>
      </c>
      <c r="R87">
        <v>2023</v>
      </c>
      <c r="S87">
        <v>4</v>
      </c>
    </row>
    <row r="88" spans="1:19" x14ac:dyDescent="0.25">
      <c r="A88" t="s">
        <v>236</v>
      </c>
      <c r="B88" t="s">
        <v>237</v>
      </c>
      <c r="C88" t="s">
        <v>44</v>
      </c>
      <c r="D88" t="s">
        <v>18</v>
      </c>
      <c r="E88" t="s">
        <v>75</v>
      </c>
      <c r="F88" t="s">
        <v>31</v>
      </c>
      <c r="G88" s="11">
        <v>45451</v>
      </c>
      <c r="H88" s="12">
        <v>45271</v>
      </c>
      <c r="I88" t="s">
        <v>21</v>
      </c>
      <c r="J88" t="s">
        <v>22</v>
      </c>
      <c r="K88" t="s">
        <v>23</v>
      </c>
      <c r="L88" t="s">
        <v>24</v>
      </c>
      <c r="M88" t="s">
        <v>25</v>
      </c>
      <c r="N88" t="s">
        <v>26</v>
      </c>
      <c r="O88">
        <v>616</v>
      </c>
      <c r="P88" t="s">
        <v>18</v>
      </c>
      <c r="Q88" t="s">
        <v>883</v>
      </c>
      <c r="R88">
        <v>2023</v>
      </c>
      <c r="S88">
        <v>4</v>
      </c>
    </row>
    <row r="89" spans="1:19" x14ac:dyDescent="0.25">
      <c r="A89" t="s">
        <v>238</v>
      </c>
      <c r="B89" t="s">
        <v>239</v>
      </c>
      <c r="C89" t="s">
        <v>36</v>
      </c>
      <c r="D89" t="s">
        <v>18</v>
      </c>
      <c r="E89" t="s">
        <v>75</v>
      </c>
      <c r="F89" t="s">
        <v>31</v>
      </c>
      <c r="G89" s="11">
        <v>45451</v>
      </c>
      <c r="H89" s="12">
        <v>45271</v>
      </c>
      <c r="I89" t="s">
        <v>21</v>
      </c>
      <c r="J89" t="s">
        <v>22</v>
      </c>
      <c r="K89" t="s">
        <v>58</v>
      </c>
      <c r="L89" t="s">
        <v>24</v>
      </c>
      <c r="M89" t="s">
        <v>25</v>
      </c>
      <c r="N89" t="s">
        <v>26</v>
      </c>
      <c r="O89">
        <v>1000</v>
      </c>
      <c r="P89" t="s">
        <v>18</v>
      </c>
      <c r="Q89" t="s">
        <v>883</v>
      </c>
      <c r="R89">
        <v>2023</v>
      </c>
      <c r="S89">
        <v>4</v>
      </c>
    </row>
    <row r="90" spans="1:19" x14ac:dyDescent="0.25">
      <c r="A90" t="s">
        <v>240</v>
      </c>
      <c r="B90" t="s">
        <v>241</v>
      </c>
      <c r="C90" t="s">
        <v>36</v>
      </c>
      <c r="D90" t="s">
        <v>18</v>
      </c>
      <c r="E90" t="s">
        <v>75</v>
      </c>
      <c r="F90" t="s">
        <v>31</v>
      </c>
      <c r="G90" s="11">
        <v>45451</v>
      </c>
      <c r="H90" s="12">
        <v>45271</v>
      </c>
      <c r="I90" t="s">
        <v>21</v>
      </c>
      <c r="J90" t="s">
        <v>22</v>
      </c>
      <c r="K90" t="s">
        <v>58</v>
      </c>
      <c r="L90" t="s">
        <v>96</v>
      </c>
      <c r="M90" t="s">
        <v>47</v>
      </c>
      <c r="N90" t="s">
        <v>26</v>
      </c>
      <c r="O90">
        <v>1000</v>
      </c>
      <c r="P90" t="s">
        <v>18</v>
      </c>
      <c r="Q90" t="s">
        <v>883</v>
      </c>
      <c r="R90">
        <v>2023</v>
      </c>
      <c r="S90">
        <v>4</v>
      </c>
    </row>
    <row r="91" spans="1:19" x14ac:dyDescent="0.25">
      <c r="A91" t="s">
        <v>242</v>
      </c>
      <c r="B91" t="s">
        <v>243</v>
      </c>
      <c r="C91" t="s">
        <v>36</v>
      </c>
      <c r="D91" t="s">
        <v>18</v>
      </c>
      <c r="E91" t="s">
        <v>75</v>
      </c>
      <c r="F91" t="s">
        <v>31</v>
      </c>
      <c r="G91" s="11">
        <v>45451</v>
      </c>
      <c r="H91" s="12">
        <v>45271</v>
      </c>
      <c r="I91" t="s">
        <v>21</v>
      </c>
      <c r="J91" t="s">
        <v>22</v>
      </c>
      <c r="K91" t="s">
        <v>115</v>
      </c>
      <c r="L91" t="s">
        <v>116</v>
      </c>
      <c r="M91" t="s">
        <v>47</v>
      </c>
      <c r="N91" t="s">
        <v>26</v>
      </c>
      <c r="O91">
        <v>1662</v>
      </c>
      <c r="P91" t="s">
        <v>18</v>
      </c>
      <c r="Q91" t="s">
        <v>883</v>
      </c>
      <c r="R91">
        <v>2023</v>
      </c>
      <c r="S91">
        <v>4</v>
      </c>
    </row>
    <row r="92" spans="1:19" x14ac:dyDescent="0.25">
      <c r="A92" t="s">
        <v>244</v>
      </c>
      <c r="B92" t="s">
        <v>245</v>
      </c>
      <c r="C92" t="s">
        <v>44</v>
      </c>
      <c r="D92" t="s">
        <v>18</v>
      </c>
      <c r="E92" t="s">
        <v>75</v>
      </c>
      <c r="F92" t="s">
        <v>31</v>
      </c>
      <c r="G92" s="11">
        <v>45451</v>
      </c>
      <c r="H92" s="12">
        <v>45271</v>
      </c>
      <c r="I92" t="s">
        <v>21</v>
      </c>
      <c r="J92" t="s">
        <v>22</v>
      </c>
      <c r="K92" t="s">
        <v>32</v>
      </c>
      <c r="L92" t="s">
        <v>24</v>
      </c>
      <c r="M92" t="s">
        <v>25</v>
      </c>
      <c r="N92" t="s">
        <v>26</v>
      </c>
      <c r="O92">
        <v>10000</v>
      </c>
      <c r="P92" t="s">
        <v>18</v>
      </c>
      <c r="Q92" t="s">
        <v>883</v>
      </c>
      <c r="R92">
        <v>2023</v>
      </c>
      <c r="S92">
        <v>4</v>
      </c>
    </row>
    <row r="93" spans="1:19" x14ac:dyDescent="0.25">
      <c r="A93" t="s">
        <v>246</v>
      </c>
      <c r="B93" t="s">
        <v>247</v>
      </c>
      <c r="C93" t="s">
        <v>36</v>
      </c>
      <c r="D93" t="s">
        <v>18</v>
      </c>
      <c r="E93" t="s">
        <v>75</v>
      </c>
      <c r="F93" t="s">
        <v>31</v>
      </c>
      <c r="G93" s="11">
        <v>45451</v>
      </c>
      <c r="H93" s="12">
        <v>45271</v>
      </c>
      <c r="I93" t="s">
        <v>21</v>
      </c>
      <c r="J93" t="s">
        <v>22</v>
      </c>
      <c r="K93" t="s">
        <v>38</v>
      </c>
      <c r="L93" t="s">
        <v>24</v>
      </c>
      <c r="M93" t="s">
        <v>25</v>
      </c>
      <c r="N93" t="s">
        <v>26</v>
      </c>
      <c r="O93">
        <v>16326</v>
      </c>
      <c r="P93" t="s">
        <v>18</v>
      </c>
      <c r="Q93" t="s">
        <v>883</v>
      </c>
      <c r="R93">
        <v>2023</v>
      </c>
      <c r="S93">
        <v>4</v>
      </c>
    </row>
    <row r="94" spans="1:19" x14ac:dyDescent="0.25">
      <c r="A94" t="s">
        <v>248</v>
      </c>
      <c r="B94" t="s">
        <v>154</v>
      </c>
      <c r="C94" t="s">
        <v>36</v>
      </c>
      <c r="D94" t="s">
        <v>18</v>
      </c>
      <c r="E94" t="s">
        <v>75</v>
      </c>
      <c r="F94" t="s">
        <v>31</v>
      </c>
      <c r="G94" s="11">
        <v>45451</v>
      </c>
      <c r="H94" s="12">
        <v>45271</v>
      </c>
      <c r="I94" t="s">
        <v>21</v>
      </c>
      <c r="J94" t="s">
        <v>37</v>
      </c>
      <c r="K94" t="s">
        <v>115</v>
      </c>
      <c r="L94" t="s">
        <v>24</v>
      </c>
      <c r="M94" t="s">
        <v>25</v>
      </c>
      <c r="N94" t="s">
        <v>26</v>
      </c>
      <c r="O94">
        <v>10000</v>
      </c>
      <c r="P94" t="s">
        <v>18</v>
      </c>
      <c r="Q94" t="s">
        <v>883</v>
      </c>
      <c r="R94">
        <v>2023</v>
      </c>
      <c r="S94">
        <v>4</v>
      </c>
    </row>
    <row r="95" spans="1:19" x14ac:dyDescent="0.25">
      <c r="A95" t="s">
        <v>249</v>
      </c>
      <c r="B95" t="s">
        <v>250</v>
      </c>
      <c r="C95" t="s">
        <v>44</v>
      </c>
      <c r="D95" t="s">
        <v>18</v>
      </c>
      <c r="E95" t="s">
        <v>75</v>
      </c>
      <c r="F95" t="s">
        <v>31</v>
      </c>
      <c r="G95" s="11">
        <v>45451</v>
      </c>
      <c r="H95" s="12">
        <v>45271</v>
      </c>
      <c r="I95" t="s">
        <v>21</v>
      </c>
      <c r="J95" t="s">
        <v>22</v>
      </c>
      <c r="K95" t="s">
        <v>38</v>
      </c>
      <c r="L95" t="s">
        <v>24</v>
      </c>
      <c r="M95" t="s">
        <v>25</v>
      </c>
      <c r="N95" t="s">
        <v>26</v>
      </c>
      <c r="O95">
        <v>26265</v>
      </c>
      <c r="P95" t="s">
        <v>18</v>
      </c>
      <c r="Q95" t="s">
        <v>883</v>
      </c>
      <c r="R95">
        <v>2023</v>
      </c>
      <c r="S95">
        <v>4</v>
      </c>
    </row>
    <row r="96" spans="1:19" x14ac:dyDescent="0.25">
      <c r="A96" t="s">
        <v>251</v>
      </c>
      <c r="B96" t="s">
        <v>252</v>
      </c>
      <c r="C96" t="s">
        <v>17</v>
      </c>
      <c r="D96" t="s">
        <v>18</v>
      </c>
      <c r="E96" t="s">
        <v>75</v>
      </c>
      <c r="F96" t="s">
        <v>31</v>
      </c>
      <c r="G96" s="11">
        <v>45451</v>
      </c>
      <c r="H96" s="12">
        <v>45271</v>
      </c>
      <c r="I96" t="s">
        <v>21</v>
      </c>
      <c r="J96" t="s">
        <v>22</v>
      </c>
      <c r="K96" t="s">
        <v>38</v>
      </c>
      <c r="L96" t="s">
        <v>24</v>
      </c>
      <c r="M96" t="s">
        <v>25</v>
      </c>
      <c r="N96" t="s">
        <v>26</v>
      </c>
      <c r="O96">
        <v>2162</v>
      </c>
      <c r="P96" t="s">
        <v>18</v>
      </c>
      <c r="Q96" t="s">
        <v>883</v>
      </c>
      <c r="R96">
        <v>2023</v>
      </c>
      <c r="S96">
        <v>4</v>
      </c>
    </row>
    <row r="97" spans="1:19" x14ac:dyDescent="0.25">
      <c r="A97" t="s">
        <v>253</v>
      </c>
      <c r="B97" t="s">
        <v>254</v>
      </c>
      <c r="C97" t="s">
        <v>17</v>
      </c>
      <c r="D97" t="s">
        <v>18</v>
      </c>
      <c r="E97" t="s">
        <v>75</v>
      </c>
      <c r="F97" t="s">
        <v>31</v>
      </c>
      <c r="G97" s="11">
        <v>45451</v>
      </c>
      <c r="H97" s="12">
        <v>45271</v>
      </c>
      <c r="I97" t="s">
        <v>81</v>
      </c>
      <c r="J97" t="s">
        <v>22</v>
      </c>
      <c r="K97" t="s">
        <v>38</v>
      </c>
      <c r="L97" t="s">
        <v>96</v>
      </c>
      <c r="M97" t="s">
        <v>47</v>
      </c>
      <c r="N97" t="s">
        <v>26</v>
      </c>
      <c r="O97">
        <v>10000</v>
      </c>
      <c r="P97" t="s">
        <v>18</v>
      </c>
      <c r="Q97" t="s">
        <v>883</v>
      </c>
      <c r="R97">
        <v>2023</v>
      </c>
      <c r="S97">
        <v>4</v>
      </c>
    </row>
    <row r="98" spans="1:19" x14ac:dyDescent="0.25">
      <c r="A98" t="s">
        <v>255</v>
      </c>
      <c r="B98" t="s">
        <v>256</v>
      </c>
      <c r="C98" t="s">
        <v>205</v>
      </c>
      <c r="D98" t="s">
        <v>18</v>
      </c>
      <c r="E98" t="s">
        <v>75</v>
      </c>
      <c r="F98" t="s">
        <v>31</v>
      </c>
      <c r="G98" s="11">
        <v>45451</v>
      </c>
      <c r="H98" s="12">
        <v>45271</v>
      </c>
      <c r="I98" t="s">
        <v>81</v>
      </c>
      <c r="J98" t="s">
        <v>22</v>
      </c>
      <c r="K98" t="s">
        <v>32</v>
      </c>
      <c r="L98" t="s">
        <v>24</v>
      </c>
      <c r="M98" t="s">
        <v>25</v>
      </c>
      <c r="N98" t="s">
        <v>26</v>
      </c>
      <c r="O98">
        <v>16521</v>
      </c>
      <c r="P98" t="s">
        <v>18</v>
      </c>
      <c r="Q98" t="s">
        <v>883</v>
      </c>
      <c r="R98">
        <v>2023</v>
      </c>
      <c r="S98">
        <v>4</v>
      </c>
    </row>
    <row r="99" spans="1:19" x14ac:dyDescent="0.25">
      <c r="A99" t="s">
        <v>257</v>
      </c>
      <c r="B99" t="s">
        <v>258</v>
      </c>
      <c r="C99" t="s">
        <v>205</v>
      </c>
      <c r="D99" t="s">
        <v>18</v>
      </c>
      <c r="E99" t="s">
        <v>75</v>
      </c>
      <c r="F99" t="s">
        <v>31</v>
      </c>
      <c r="G99" s="11">
        <v>45451</v>
      </c>
      <c r="H99" s="12">
        <v>45271</v>
      </c>
      <c r="I99" t="s">
        <v>81</v>
      </c>
      <c r="J99" t="s">
        <v>22</v>
      </c>
      <c r="K99" t="s">
        <v>23</v>
      </c>
      <c r="L99" t="s">
        <v>259</v>
      </c>
      <c r="M99" t="s">
        <v>47</v>
      </c>
      <c r="N99" t="s">
        <v>26</v>
      </c>
      <c r="O99">
        <v>21625</v>
      </c>
      <c r="P99" t="s">
        <v>18</v>
      </c>
      <c r="Q99" t="s">
        <v>883</v>
      </c>
      <c r="R99">
        <v>2023</v>
      </c>
      <c r="S99">
        <v>4</v>
      </c>
    </row>
    <row r="100" spans="1:19" x14ac:dyDescent="0.25">
      <c r="A100" t="s">
        <v>260</v>
      </c>
      <c r="B100" t="s">
        <v>160</v>
      </c>
      <c r="C100" t="s">
        <v>17</v>
      </c>
      <c r="D100" t="s">
        <v>18</v>
      </c>
      <c r="E100" t="s">
        <v>75</v>
      </c>
      <c r="F100" t="s">
        <v>31</v>
      </c>
      <c r="G100" s="11">
        <v>45451</v>
      </c>
      <c r="H100" s="12">
        <v>45271</v>
      </c>
      <c r="I100" t="s">
        <v>81</v>
      </c>
      <c r="J100" t="s">
        <v>22</v>
      </c>
      <c r="K100" t="s">
        <v>23</v>
      </c>
      <c r="L100" t="s">
        <v>69</v>
      </c>
      <c r="M100" t="s">
        <v>40</v>
      </c>
      <c r="N100" t="s">
        <v>26</v>
      </c>
      <c r="O100">
        <v>6526</v>
      </c>
      <c r="P100" t="s">
        <v>18</v>
      </c>
      <c r="Q100" t="s">
        <v>883</v>
      </c>
      <c r="R100">
        <v>2023</v>
      </c>
      <c r="S100">
        <v>4</v>
      </c>
    </row>
    <row r="101" spans="1:19" x14ac:dyDescent="0.25">
      <c r="A101" t="s">
        <v>261</v>
      </c>
      <c r="B101" t="s">
        <v>162</v>
      </c>
      <c r="C101" t="s">
        <v>17</v>
      </c>
      <c r="D101" t="s">
        <v>18</v>
      </c>
      <c r="E101" t="s">
        <v>75</v>
      </c>
      <c r="F101" t="s">
        <v>31</v>
      </c>
      <c r="G101" s="11">
        <v>45451</v>
      </c>
      <c r="H101" s="12">
        <v>45271</v>
      </c>
      <c r="I101" t="s">
        <v>81</v>
      </c>
      <c r="J101" t="s">
        <v>22</v>
      </c>
      <c r="K101" t="s">
        <v>32</v>
      </c>
      <c r="L101" t="s">
        <v>262</v>
      </c>
      <c r="M101" t="s">
        <v>47</v>
      </c>
      <c r="N101" t="s">
        <v>26</v>
      </c>
      <c r="O101">
        <v>655</v>
      </c>
      <c r="P101" t="s">
        <v>18</v>
      </c>
      <c r="Q101" t="s">
        <v>883</v>
      </c>
      <c r="R101">
        <v>2023</v>
      </c>
      <c r="S101">
        <v>4</v>
      </c>
    </row>
    <row r="102" spans="1:19" x14ac:dyDescent="0.25">
      <c r="A102" t="s">
        <v>263</v>
      </c>
      <c r="B102" t="s">
        <v>164</v>
      </c>
      <c r="C102" t="s">
        <v>17</v>
      </c>
      <c r="D102" t="s">
        <v>18</v>
      </c>
      <c r="E102" t="s">
        <v>75</v>
      </c>
      <c r="F102" t="s">
        <v>31</v>
      </c>
      <c r="G102" s="11">
        <v>45451</v>
      </c>
      <c r="H102" s="12">
        <v>45271</v>
      </c>
      <c r="I102" t="s">
        <v>81</v>
      </c>
      <c r="J102" t="s">
        <v>37</v>
      </c>
      <c r="K102" t="s">
        <v>23</v>
      </c>
      <c r="L102" t="s">
        <v>24</v>
      </c>
      <c r="M102" t="s">
        <v>25</v>
      </c>
      <c r="N102" t="s">
        <v>26</v>
      </c>
      <c r="O102">
        <v>62146</v>
      </c>
      <c r="P102" t="s">
        <v>18</v>
      </c>
      <c r="Q102" t="s">
        <v>883</v>
      </c>
      <c r="R102">
        <v>2023</v>
      </c>
      <c r="S102">
        <v>4</v>
      </c>
    </row>
    <row r="103" spans="1:19" x14ac:dyDescent="0.25">
      <c r="A103" t="s">
        <v>264</v>
      </c>
      <c r="B103" t="s">
        <v>166</v>
      </c>
      <c r="C103" t="s">
        <v>17</v>
      </c>
      <c r="D103" t="s">
        <v>18</v>
      </c>
      <c r="E103" t="s">
        <v>75</v>
      </c>
      <c r="F103" t="s">
        <v>31</v>
      </c>
      <c r="G103" s="11">
        <v>45451</v>
      </c>
      <c r="H103" s="12">
        <v>45271</v>
      </c>
      <c r="I103" t="s">
        <v>81</v>
      </c>
      <c r="J103" t="s">
        <v>22</v>
      </c>
      <c r="K103" t="s">
        <v>58</v>
      </c>
      <c r="L103" t="s">
        <v>96</v>
      </c>
      <c r="M103" t="s">
        <v>47</v>
      </c>
      <c r="N103" t="s">
        <v>26</v>
      </c>
      <c r="O103">
        <v>2656</v>
      </c>
      <c r="P103" t="s">
        <v>18</v>
      </c>
      <c r="Q103" t="s">
        <v>883</v>
      </c>
      <c r="R103">
        <v>2023</v>
      </c>
      <c r="S103">
        <v>4</v>
      </c>
    </row>
    <row r="104" spans="1:19" x14ac:dyDescent="0.25">
      <c r="A104" t="s">
        <v>265</v>
      </c>
      <c r="B104" t="s">
        <v>168</v>
      </c>
      <c r="C104" t="s">
        <v>44</v>
      </c>
      <c r="D104" t="s">
        <v>18</v>
      </c>
      <c r="E104" t="s">
        <v>75</v>
      </c>
      <c r="F104" t="s">
        <v>31</v>
      </c>
      <c r="G104" s="11">
        <v>45451</v>
      </c>
      <c r="H104" s="12">
        <v>45271</v>
      </c>
      <c r="I104" t="s">
        <v>81</v>
      </c>
      <c r="J104" t="s">
        <v>22</v>
      </c>
      <c r="K104" t="s">
        <v>23</v>
      </c>
      <c r="L104" t="s">
        <v>24</v>
      </c>
      <c r="M104" t="s">
        <v>25</v>
      </c>
      <c r="N104" t="s">
        <v>26</v>
      </c>
      <c r="O104">
        <v>216</v>
      </c>
      <c r="P104" t="s">
        <v>18</v>
      </c>
      <c r="Q104" t="s">
        <v>883</v>
      </c>
      <c r="R104">
        <v>2023</v>
      </c>
      <c r="S104">
        <v>4</v>
      </c>
    </row>
    <row r="105" spans="1:19" x14ac:dyDescent="0.25">
      <c r="A105" t="s">
        <v>266</v>
      </c>
      <c r="B105" t="s">
        <v>171</v>
      </c>
      <c r="C105" t="s">
        <v>36</v>
      </c>
      <c r="D105" t="s">
        <v>18</v>
      </c>
      <c r="E105" t="s">
        <v>75</v>
      </c>
      <c r="F105" t="s">
        <v>31</v>
      </c>
      <c r="G105" s="11">
        <v>45451</v>
      </c>
      <c r="H105" s="12">
        <v>45271</v>
      </c>
      <c r="I105" t="s">
        <v>81</v>
      </c>
      <c r="J105" t="s">
        <v>22</v>
      </c>
      <c r="K105" t="s">
        <v>32</v>
      </c>
      <c r="L105" t="s">
        <v>24</v>
      </c>
      <c r="M105" t="s">
        <v>25</v>
      </c>
      <c r="N105" t="s">
        <v>26</v>
      </c>
      <c r="O105">
        <v>65143</v>
      </c>
      <c r="P105" t="s">
        <v>18</v>
      </c>
      <c r="Q105" t="s">
        <v>883</v>
      </c>
      <c r="R105">
        <v>2023</v>
      </c>
      <c r="S105">
        <v>4</v>
      </c>
    </row>
    <row r="106" spans="1:19" x14ac:dyDescent="0.25">
      <c r="A106" t="s">
        <v>267</v>
      </c>
      <c r="B106" t="s">
        <v>174</v>
      </c>
      <c r="C106" t="s">
        <v>36</v>
      </c>
      <c r="D106" t="s">
        <v>18</v>
      </c>
      <c r="E106" t="s">
        <v>75</v>
      </c>
      <c r="F106" t="s">
        <v>31</v>
      </c>
      <c r="G106" s="11">
        <v>45451</v>
      </c>
      <c r="H106" s="12">
        <v>45271</v>
      </c>
      <c r="I106" t="s">
        <v>81</v>
      </c>
      <c r="J106" t="s">
        <v>22</v>
      </c>
      <c r="K106" t="s">
        <v>23</v>
      </c>
      <c r="L106" t="s">
        <v>24</v>
      </c>
      <c r="M106" t="s">
        <v>25</v>
      </c>
      <c r="N106" t="s">
        <v>26</v>
      </c>
      <c r="O106">
        <v>10000</v>
      </c>
      <c r="P106" t="s">
        <v>18</v>
      </c>
      <c r="Q106" t="s">
        <v>883</v>
      </c>
      <c r="R106">
        <v>2023</v>
      </c>
      <c r="S106">
        <v>4</v>
      </c>
    </row>
    <row r="107" spans="1:19" x14ac:dyDescent="0.25">
      <c r="A107" t="s">
        <v>268</v>
      </c>
      <c r="B107" t="s">
        <v>177</v>
      </c>
      <c r="C107" t="s">
        <v>36</v>
      </c>
      <c r="D107" t="s">
        <v>18</v>
      </c>
      <c r="E107" t="s">
        <v>75</v>
      </c>
      <c r="F107" t="s">
        <v>31</v>
      </c>
      <c r="G107" s="11">
        <v>45451</v>
      </c>
      <c r="H107" s="12">
        <v>45271</v>
      </c>
      <c r="I107" t="s">
        <v>21</v>
      </c>
      <c r="J107" t="s">
        <v>22</v>
      </c>
      <c r="K107" t="s">
        <v>32</v>
      </c>
      <c r="L107" t="s">
        <v>24</v>
      </c>
      <c r="M107" t="s">
        <v>25</v>
      </c>
      <c r="N107" t="s">
        <v>26</v>
      </c>
      <c r="O107">
        <v>10000</v>
      </c>
      <c r="P107" t="s">
        <v>18</v>
      </c>
      <c r="Q107" t="s">
        <v>883</v>
      </c>
      <c r="R107">
        <v>2023</v>
      </c>
      <c r="S107">
        <v>4</v>
      </c>
    </row>
    <row r="108" spans="1:19" x14ac:dyDescent="0.25">
      <c r="A108" t="s">
        <v>269</v>
      </c>
      <c r="B108" t="s">
        <v>179</v>
      </c>
      <c r="C108" t="s">
        <v>44</v>
      </c>
      <c r="D108" t="s">
        <v>18</v>
      </c>
      <c r="E108" t="s">
        <v>75</v>
      </c>
      <c r="F108" t="s">
        <v>31</v>
      </c>
      <c r="G108" s="11">
        <v>45451</v>
      </c>
      <c r="H108" s="12">
        <v>45271</v>
      </c>
      <c r="I108" t="s">
        <v>21</v>
      </c>
      <c r="J108" t="s">
        <v>22</v>
      </c>
      <c r="K108" t="s">
        <v>58</v>
      </c>
      <c r="L108" t="s">
        <v>24</v>
      </c>
      <c r="M108" t="s">
        <v>25</v>
      </c>
      <c r="N108" t="s">
        <v>26</v>
      </c>
      <c r="O108">
        <v>5000</v>
      </c>
      <c r="P108" t="s">
        <v>18</v>
      </c>
      <c r="Q108" t="s">
        <v>883</v>
      </c>
      <c r="R108">
        <v>2023</v>
      </c>
      <c r="S108">
        <v>4</v>
      </c>
    </row>
    <row r="109" spans="1:19" x14ac:dyDescent="0.25">
      <c r="A109" t="s">
        <v>270</v>
      </c>
      <c r="B109" t="s">
        <v>182</v>
      </c>
      <c r="C109" t="s">
        <v>36</v>
      </c>
      <c r="D109" t="s">
        <v>18</v>
      </c>
      <c r="E109" t="s">
        <v>75</v>
      </c>
      <c r="F109" t="s">
        <v>31</v>
      </c>
      <c r="G109" s="11">
        <v>45451</v>
      </c>
      <c r="H109" s="12">
        <v>45271</v>
      </c>
      <c r="I109" t="s">
        <v>21</v>
      </c>
      <c r="J109" t="s">
        <v>22</v>
      </c>
      <c r="K109" t="s">
        <v>23</v>
      </c>
      <c r="L109" t="s">
        <v>24</v>
      </c>
      <c r="M109" t="s">
        <v>25</v>
      </c>
      <c r="N109" t="s">
        <v>26</v>
      </c>
      <c r="O109">
        <v>5000</v>
      </c>
      <c r="P109" t="s">
        <v>18</v>
      </c>
      <c r="Q109" t="s">
        <v>883</v>
      </c>
      <c r="R109">
        <v>2023</v>
      </c>
      <c r="S109">
        <v>4</v>
      </c>
    </row>
    <row r="110" spans="1:19" x14ac:dyDescent="0.25">
      <c r="A110" t="s">
        <v>271</v>
      </c>
      <c r="B110" t="s">
        <v>184</v>
      </c>
      <c r="C110" t="s">
        <v>36</v>
      </c>
      <c r="D110" t="s">
        <v>18</v>
      </c>
      <c r="E110" t="s">
        <v>75</v>
      </c>
      <c r="F110" t="s">
        <v>31</v>
      </c>
      <c r="G110" s="11">
        <v>45451</v>
      </c>
      <c r="H110" s="12">
        <v>45271</v>
      </c>
      <c r="I110" t="s">
        <v>21</v>
      </c>
      <c r="J110" t="s">
        <v>22</v>
      </c>
      <c r="K110" t="s">
        <v>23</v>
      </c>
      <c r="L110" t="s">
        <v>24</v>
      </c>
      <c r="M110" t="s">
        <v>25</v>
      </c>
      <c r="N110" t="s">
        <v>26</v>
      </c>
      <c r="O110">
        <v>5000</v>
      </c>
      <c r="P110" t="s">
        <v>18</v>
      </c>
      <c r="Q110" t="s">
        <v>883</v>
      </c>
      <c r="R110">
        <v>2023</v>
      </c>
      <c r="S110">
        <v>4</v>
      </c>
    </row>
    <row r="111" spans="1:19" x14ac:dyDescent="0.25">
      <c r="A111" t="s">
        <v>272</v>
      </c>
      <c r="B111" t="s">
        <v>186</v>
      </c>
      <c r="C111" t="s">
        <v>36</v>
      </c>
      <c r="D111" t="s">
        <v>18</v>
      </c>
      <c r="E111" t="s">
        <v>75</v>
      </c>
      <c r="F111" t="s">
        <v>31</v>
      </c>
      <c r="G111" s="11">
        <v>45451</v>
      </c>
      <c r="H111" s="12">
        <v>45271</v>
      </c>
      <c r="I111" t="s">
        <v>21</v>
      </c>
      <c r="J111" t="s">
        <v>22</v>
      </c>
      <c r="K111" t="s">
        <v>32</v>
      </c>
      <c r="L111" t="s">
        <v>69</v>
      </c>
      <c r="M111" t="s">
        <v>40</v>
      </c>
      <c r="N111" t="s">
        <v>26</v>
      </c>
      <c r="O111">
        <v>5000</v>
      </c>
      <c r="P111" t="s">
        <v>18</v>
      </c>
      <c r="Q111" t="s">
        <v>883</v>
      </c>
      <c r="R111">
        <v>2023</v>
      </c>
      <c r="S111">
        <v>4</v>
      </c>
    </row>
    <row r="112" spans="1:19" x14ac:dyDescent="0.25">
      <c r="A112" t="s">
        <v>273</v>
      </c>
      <c r="B112" t="s">
        <v>274</v>
      </c>
      <c r="C112" t="s">
        <v>44</v>
      </c>
      <c r="D112" t="s">
        <v>18</v>
      </c>
      <c r="E112" t="s">
        <v>75</v>
      </c>
      <c r="F112" t="s">
        <v>31</v>
      </c>
      <c r="G112" s="11">
        <v>45451</v>
      </c>
      <c r="H112" s="12">
        <v>45271</v>
      </c>
      <c r="I112" t="s">
        <v>21</v>
      </c>
      <c r="J112" t="s">
        <v>22</v>
      </c>
      <c r="K112" t="s">
        <v>23</v>
      </c>
      <c r="L112" t="s">
        <v>124</v>
      </c>
      <c r="M112" t="s">
        <v>47</v>
      </c>
      <c r="N112" t="s">
        <v>26</v>
      </c>
      <c r="O112">
        <v>5000</v>
      </c>
      <c r="P112" t="s">
        <v>18</v>
      </c>
      <c r="Q112" t="s">
        <v>883</v>
      </c>
      <c r="R112">
        <v>2023</v>
      </c>
      <c r="S112">
        <v>4</v>
      </c>
    </row>
    <row r="113" spans="1:19" x14ac:dyDescent="0.25">
      <c r="A113" t="s">
        <v>275</v>
      </c>
      <c r="B113" t="s">
        <v>276</v>
      </c>
      <c r="C113" t="s">
        <v>36</v>
      </c>
      <c r="D113" t="s">
        <v>18</v>
      </c>
      <c r="E113" t="s">
        <v>75</v>
      </c>
      <c r="F113" t="s">
        <v>31</v>
      </c>
      <c r="G113" s="11">
        <v>45451</v>
      </c>
      <c r="H113" s="12">
        <v>45271</v>
      </c>
      <c r="I113" t="s">
        <v>21</v>
      </c>
      <c r="J113" t="s">
        <v>22</v>
      </c>
      <c r="K113" t="s">
        <v>72</v>
      </c>
      <c r="L113" t="s">
        <v>119</v>
      </c>
      <c r="M113" t="s">
        <v>25</v>
      </c>
      <c r="N113" t="s">
        <v>26</v>
      </c>
      <c r="O113">
        <v>5000</v>
      </c>
      <c r="P113" t="s">
        <v>18</v>
      </c>
      <c r="Q113" t="s">
        <v>883</v>
      </c>
      <c r="R113">
        <v>2023</v>
      </c>
      <c r="S113">
        <v>4</v>
      </c>
    </row>
    <row r="114" spans="1:19" x14ac:dyDescent="0.25">
      <c r="A114" t="s">
        <v>277</v>
      </c>
      <c r="B114" t="s">
        <v>16</v>
      </c>
      <c r="C114" t="s">
        <v>36</v>
      </c>
      <c r="D114" t="s">
        <v>18</v>
      </c>
      <c r="E114" t="s">
        <v>75</v>
      </c>
      <c r="F114" t="s">
        <v>31</v>
      </c>
      <c r="G114" s="11">
        <v>45451</v>
      </c>
      <c r="H114" s="12">
        <v>45271</v>
      </c>
      <c r="I114" t="s">
        <v>81</v>
      </c>
      <c r="J114" t="s">
        <v>22</v>
      </c>
      <c r="K114" t="s">
        <v>23</v>
      </c>
      <c r="L114" t="s">
        <v>24</v>
      </c>
      <c r="M114" t="s">
        <v>25</v>
      </c>
      <c r="N114" t="s">
        <v>26</v>
      </c>
      <c r="O114">
        <v>5000</v>
      </c>
      <c r="P114" t="s">
        <v>18</v>
      </c>
      <c r="Q114" t="s">
        <v>883</v>
      </c>
      <c r="R114">
        <v>2023</v>
      </c>
      <c r="S114">
        <v>4</v>
      </c>
    </row>
    <row r="115" spans="1:19" x14ac:dyDescent="0.25">
      <c r="A115" t="s">
        <v>278</v>
      </c>
      <c r="B115" t="s">
        <v>28</v>
      </c>
      <c r="C115" t="s">
        <v>205</v>
      </c>
      <c r="D115" t="s">
        <v>18</v>
      </c>
      <c r="E115" t="s">
        <v>75</v>
      </c>
      <c r="F115" t="s">
        <v>31</v>
      </c>
      <c r="G115" s="11">
        <v>45451</v>
      </c>
      <c r="H115" s="12">
        <v>45271</v>
      </c>
      <c r="I115" t="s">
        <v>21</v>
      </c>
      <c r="J115" t="s">
        <v>22</v>
      </c>
      <c r="K115" t="s">
        <v>38</v>
      </c>
      <c r="L115" t="s">
        <v>279</v>
      </c>
      <c r="M115" t="s">
        <v>51</v>
      </c>
      <c r="N115" t="s">
        <v>26</v>
      </c>
      <c r="O115">
        <v>5000</v>
      </c>
      <c r="P115" t="s">
        <v>18</v>
      </c>
      <c r="Q115" t="s">
        <v>883</v>
      </c>
      <c r="R115">
        <v>2023</v>
      </c>
      <c r="S115">
        <v>4</v>
      </c>
    </row>
    <row r="116" spans="1:19" x14ac:dyDescent="0.25">
      <c r="A116" t="s">
        <v>280</v>
      </c>
      <c r="B116" t="s">
        <v>35</v>
      </c>
      <c r="C116" t="s">
        <v>36</v>
      </c>
      <c r="D116" t="s">
        <v>18</v>
      </c>
      <c r="E116" t="s">
        <v>75</v>
      </c>
      <c r="F116" t="s">
        <v>31</v>
      </c>
      <c r="G116" s="11">
        <v>45451</v>
      </c>
      <c r="H116" s="12">
        <v>45271</v>
      </c>
      <c r="I116" t="s">
        <v>21</v>
      </c>
      <c r="J116" t="s">
        <v>22</v>
      </c>
      <c r="K116" t="s">
        <v>38</v>
      </c>
      <c r="L116" t="s">
        <v>24</v>
      </c>
      <c r="M116" t="s">
        <v>25</v>
      </c>
      <c r="N116" t="s">
        <v>26</v>
      </c>
      <c r="O116">
        <v>5000</v>
      </c>
      <c r="P116" t="s">
        <v>18</v>
      </c>
      <c r="Q116" t="s">
        <v>883</v>
      </c>
      <c r="R116">
        <v>2023</v>
      </c>
      <c r="S116">
        <v>4</v>
      </c>
    </row>
    <row r="117" spans="1:19" x14ac:dyDescent="0.25">
      <c r="A117" t="s">
        <v>281</v>
      </c>
      <c r="B117" t="s">
        <v>43</v>
      </c>
      <c r="C117" t="s">
        <v>17</v>
      </c>
      <c r="D117" t="s">
        <v>18</v>
      </c>
      <c r="E117" t="s">
        <v>75</v>
      </c>
      <c r="F117" t="s">
        <v>31</v>
      </c>
      <c r="G117" s="11">
        <v>45451</v>
      </c>
      <c r="H117" s="12">
        <v>45271</v>
      </c>
      <c r="I117" t="s">
        <v>21</v>
      </c>
      <c r="J117" t="s">
        <v>22</v>
      </c>
      <c r="K117" t="s">
        <v>38</v>
      </c>
      <c r="L117" t="s">
        <v>282</v>
      </c>
      <c r="M117" t="s">
        <v>283</v>
      </c>
      <c r="N117" t="s">
        <v>26</v>
      </c>
      <c r="O117">
        <v>5000</v>
      </c>
      <c r="P117" t="s">
        <v>18</v>
      </c>
      <c r="Q117" t="s">
        <v>883</v>
      </c>
      <c r="R117">
        <v>2023</v>
      </c>
      <c r="S117">
        <v>4</v>
      </c>
    </row>
    <row r="118" spans="1:19" x14ac:dyDescent="0.25">
      <c r="A118" t="s">
        <v>284</v>
      </c>
      <c r="B118" t="s">
        <v>49</v>
      </c>
      <c r="C118" t="s">
        <v>36</v>
      </c>
      <c r="D118" t="s">
        <v>180</v>
      </c>
      <c r="E118" t="s">
        <v>75</v>
      </c>
      <c r="F118" t="s">
        <v>31</v>
      </c>
      <c r="G118" s="11">
        <v>45451</v>
      </c>
      <c r="H118" s="12">
        <v>45271</v>
      </c>
      <c r="I118" t="s">
        <v>21</v>
      </c>
      <c r="J118" t="s">
        <v>22</v>
      </c>
      <c r="K118" t="s">
        <v>32</v>
      </c>
      <c r="L118" t="s">
        <v>69</v>
      </c>
      <c r="M118" t="s">
        <v>40</v>
      </c>
      <c r="N118" t="s">
        <v>26</v>
      </c>
      <c r="O118">
        <v>5000</v>
      </c>
      <c r="P118" t="s">
        <v>872</v>
      </c>
      <c r="Q118" t="s">
        <v>883</v>
      </c>
      <c r="R118">
        <v>2023</v>
      </c>
      <c r="S118">
        <v>4</v>
      </c>
    </row>
    <row r="119" spans="1:19" x14ac:dyDescent="0.25">
      <c r="A119" t="s">
        <v>285</v>
      </c>
      <c r="B119" t="s">
        <v>53</v>
      </c>
      <c r="C119" t="s">
        <v>36</v>
      </c>
      <c r="D119" t="s">
        <v>169</v>
      </c>
      <c r="E119" t="s">
        <v>75</v>
      </c>
      <c r="F119" t="s">
        <v>31</v>
      </c>
      <c r="G119" s="11">
        <v>45452</v>
      </c>
      <c r="H119" s="12">
        <v>45272</v>
      </c>
      <c r="I119" t="s">
        <v>21</v>
      </c>
      <c r="J119" t="s">
        <v>22</v>
      </c>
      <c r="K119" t="s">
        <v>38</v>
      </c>
      <c r="L119" t="s">
        <v>24</v>
      </c>
      <c r="M119" t="s">
        <v>25</v>
      </c>
      <c r="N119" t="s">
        <v>26</v>
      </c>
      <c r="O119">
        <v>5000</v>
      </c>
      <c r="P119" t="s">
        <v>872</v>
      </c>
      <c r="Q119" t="s">
        <v>883</v>
      </c>
      <c r="R119">
        <v>2023</v>
      </c>
      <c r="S119">
        <v>4</v>
      </c>
    </row>
    <row r="120" spans="1:19" x14ac:dyDescent="0.25">
      <c r="A120" t="s">
        <v>286</v>
      </c>
      <c r="B120" t="s">
        <v>55</v>
      </c>
      <c r="C120" t="s">
        <v>36</v>
      </c>
      <c r="D120" t="s">
        <v>169</v>
      </c>
      <c r="E120" t="s">
        <v>75</v>
      </c>
      <c r="F120" t="s">
        <v>31</v>
      </c>
      <c r="G120" s="11">
        <v>45452</v>
      </c>
      <c r="H120" s="12">
        <v>45272</v>
      </c>
      <c r="I120" t="s">
        <v>21</v>
      </c>
      <c r="J120" t="s">
        <v>22</v>
      </c>
      <c r="K120" t="s">
        <v>23</v>
      </c>
      <c r="L120" t="s">
        <v>24</v>
      </c>
      <c r="M120" t="s">
        <v>25</v>
      </c>
      <c r="N120" t="s">
        <v>26</v>
      </c>
      <c r="O120">
        <v>5000</v>
      </c>
      <c r="P120" t="s">
        <v>872</v>
      </c>
      <c r="Q120" t="s">
        <v>883</v>
      </c>
      <c r="R120">
        <v>2023</v>
      </c>
      <c r="S120">
        <v>4</v>
      </c>
    </row>
    <row r="121" spans="1:19" x14ac:dyDescent="0.25">
      <c r="A121" t="s">
        <v>287</v>
      </c>
      <c r="B121" t="s">
        <v>288</v>
      </c>
      <c r="C121" t="s">
        <v>44</v>
      </c>
      <c r="D121" t="s">
        <v>169</v>
      </c>
      <c r="E121" t="s">
        <v>75</v>
      </c>
      <c r="F121" t="s">
        <v>31</v>
      </c>
      <c r="G121" s="11">
        <v>45452</v>
      </c>
      <c r="H121" s="12">
        <v>45272</v>
      </c>
      <c r="I121" t="s">
        <v>21</v>
      </c>
      <c r="J121" t="s">
        <v>22</v>
      </c>
      <c r="K121" t="s">
        <v>23</v>
      </c>
      <c r="L121" t="s">
        <v>96</v>
      </c>
      <c r="M121" t="s">
        <v>47</v>
      </c>
      <c r="N121" t="s">
        <v>26</v>
      </c>
      <c r="O121">
        <v>5000</v>
      </c>
      <c r="P121" t="s">
        <v>872</v>
      </c>
      <c r="Q121" t="s">
        <v>883</v>
      </c>
      <c r="R121">
        <v>2023</v>
      </c>
      <c r="S121">
        <v>4</v>
      </c>
    </row>
    <row r="122" spans="1:19" x14ac:dyDescent="0.25">
      <c r="A122" t="s">
        <v>289</v>
      </c>
      <c r="B122" t="s">
        <v>60</v>
      </c>
      <c r="C122" t="s">
        <v>17</v>
      </c>
      <c r="D122" t="s">
        <v>169</v>
      </c>
      <c r="E122" t="s">
        <v>75</v>
      </c>
      <c r="F122" t="s">
        <v>31</v>
      </c>
      <c r="G122" s="11">
        <v>45452</v>
      </c>
      <c r="H122" s="12">
        <v>45272</v>
      </c>
      <c r="I122" t="s">
        <v>21</v>
      </c>
      <c r="J122" t="s">
        <v>22</v>
      </c>
      <c r="K122" t="s">
        <v>32</v>
      </c>
      <c r="L122" t="s">
        <v>290</v>
      </c>
      <c r="M122" t="s">
        <v>47</v>
      </c>
      <c r="N122" t="s">
        <v>26</v>
      </c>
      <c r="O122">
        <v>5000</v>
      </c>
      <c r="P122" t="s">
        <v>872</v>
      </c>
      <c r="Q122" t="s">
        <v>883</v>
      </c>
      <c r="R122">
        <v>2023</v>
      </c>
      <c r="S122">
        <v>4</v>
      </c>
    </row>
    <row r="123" spans="1:19" x14ac:dyDescent="0.25">
      <c r="A123" t="s">
        <v>291</v>
      </c>
      <c r="B123" t="s">
        <v>62</v>
      </c>
      <c r="C123" t="s">
        <v>17</v>
      </c>
      <c r="D123" t="s">
        <v>169</v>
      </c>
      <c r="E123" t="s">
        <v>75</v>
      </c>
      <c r="F123" t="s">
        <v>31</v>
      </c>
      <c r="G123" s="11">
        <v>45452</v>
      </c>
      <c r="H123" s="12">
        <v>45272</v>
      </c>
      <c r="I123" t="s">
        <v>21</v>
      </c>
      <c r="J123" t="s">
        <v>22</v>
      </c>
      <c r="K123" t="s">
        <v>115</v>
      </c>
      <c r="L123" t="s">
        <v>220</v>
      </c>
      <c r="M123" t="s">
        <v>25</v>
      </c>
      <c r="N123" t="s">
        <v>26</v>
      </c>
      <c r="O123">
        <v>5000</v>
      </c>
      <c r="P123" t="s">
        <v>872</v>
      </c>
      <c r="Q123" t="s">
        <v>883</v>
      </c>
      <c r="R123">
        <v>2023</v>
      </c>
      <c r="S123">
        <v>4</v>
      </c>
    </row>
    <row r="124" spans="1:19" x14ac:dyDescent="0.25">
      <c r="A124" t="s">
        <v>292</v>
      </c>
      <c r="B124" t="s">
        <v>64</v>
      </c>
      <c r="C124" t="s">
        <v>205</v>
      </c>
      <c r="D124" t="s">
        <v>194</v>
      </c>
      <c r="E124" t="s">
        <v>75</v>
      </c>
      <c r="F124" t="s">
        <v>31</v>
      </c>
      <c r="G124" s="11">
        <v>45452</v>
      </c>
      <c r="H124" s="12">
        <v>45272</v>
      </c>
      <c r="I124" t="s">
        <v>21</v>
      </c>
      <c r="J124" t="s">
        <v>37</v>
      </c>
      <c r="K124" t="s">
        <v>23</v>
      </c>
      <c r="L124" t="s">
        <v>293</v>
      </c>
      <c r="M124" t="s">
        <v>40</v>
      </c>
      <c r="N124" t="s">
        <v>26</v>
      </c>
      <c r="O124">
        <v>5000</v>
      </c>
      <c r="P124" t="s">
        <v>872</v>
      </c>
      <c r="Q124" t="s">
        <v>883</v>
      </c>
      <c r="R124">
        <v>2023</v>
      </c>
      <c r="S124">
        <v>4</v>
      </c>
    </row>
    <row r="125" spans="1:19" x14ac:dyDescent="0.25">
      <c r="A125" t="s">
        <v>294</v>
      </c>
      <c r="B125" t="s">
        <v>66</v>
      </c>
      <c r="C125" t="s">
        <v>205</v>
      </c>
      <c r="D125" t="s">
        <v>175</v>
      </c>
      <c r="E125" t="s">
        <v>75</v>
      </c>
      <c r="F125" t="s">
        <v>31</v>
      </c>
      <c r="G125" s="11">
        <v>45452</v>
      </c>
      <c r="H125" s="12">
        <v>45272</v>
      </c>
      <c r="I125" t="s">
        <v>21</v>
      </c>
      <c r="J125" t="s">
        <v>22</v>
      </c>
      <c r="K125" t="s">
        <v>23</v>
      </c>
      <c r="L125" t="s">
        <v>172</v>
      </c>
      <c r="M125" t="s">
        <v>51</v>
      </c>
      <c r="N125" t="s">
        <v>26</v>
      </c>
      <c r="O125">
        <v>5000</v>
      </c>
      <c r="P125" t="s">
        <v>872</v>
      </c>
      <c r="Q125" t="s">
        <v>883</v>
      </c>
      <c r="R125">
        <v>2023</v>
      </c>
      <c r="S125">
        <v>4</v>
      </c>
    </row>
    <row r="126" spans="1:19" x14ac:dyDescent="0.25">
      <c r="A126" t="s">
        <v>295</v>
      </c>
      <c r="B126" t="s">
        <v>68</v>
      </c>
      <c r="C126" t="s">
        <v>17</v>
      </c>
      <c r="D126" t="s">
        <v>199</v>
      </c>
      <c r="E126" t="s">
        <v>75</v>
      </c>
      <c r="F126" t="s">
        <v>31</v>
      </c>
      <c r="G126" s="11">
        <v>45452</v>
      </c>
      <c r="H126" s="12">
        <v>45272</v>
      </c>
      <c r="I126" t="s">
        <v>21</v>
      </c>
      <c r="J126" t="s">
        <v>22</v>
      </c>
      <c r="K126" t="s">
        <v>23</v>
      </c>
      <c r="L126" t="s">
        <v>39</v>
      </c>
      <c r="M126" t="s">
        <v>40</v>
      </c>
      <c r="N126" t="s">
        <v>26</v>
      </c>
      <c r="O126">
        <v>5000</v>
      </c>
      <c r="P126" t="s">
        <v>872</v>
      </c>
      <c r="Q126" t="s">
        <v>883</v>
      </c>
      <c r="R126">
        <v>2023</v>
      </c>
      <c r="S126">
        <v>4</v>
      </c>
    </row>
    <row r="127" spans="1:19" x14ac:dyDescent="0.25">
      <c r="A127" t="s">
        <v>296</v>
      </c>
      <c r="B127" t="s">
        <v>71</v>
      </c>
      <c r="C127" t="s">
        <v>17</v>
      </c>
      <c r="D127" t="s">
        <v>202</v>
      </c>
      <c r="E127" t="s">
        <v>75</v>
      </c>
      <c r="F127" t="s">
        <v>31</v>
      </c>
      <c r="G127" s="11">
        <v>45452</v>
      </c>
      <c r="H127" s="12">
        <v>45272</v>
      </c>
      <c r="I127" t="s">
        <v>21</v>
      </c>
      <c r="J127" t="s">
        <v>22</v>
      </c>
      <c r="K127" t="s">
        <v>32</v>
      </c>
      <c r="L127" t="s">
        <v>24</v>
      </c>
      <c r="M127" t="s">
        <v>25</v>
      </c>
      <c r="N127" t="s">
        <v>26</v>
      </c>
      <c r="O127">
        <v>5000</v>
      </c>
      <c r="P127" t="s">
        <v>872</v>
      </c>
      <c r="Q127" t="s">
        <v>883</v>
      </c>
      <c r="R127">
        <v>2023</v>
      </c>
      <c r="S127">
        <v>4</v>
      </c>
    </row>
    <row r="128" spans="1:19" x14ac:dyDescent="0.25">
      <c r="A128" t="s">
        <v>297</v>
      </c>
      <c r="B128" t="s">
        <v>74</v>
      </c>
      <c r="C128" t="s">
        <v>17</v>
      </c>
      <c r="D128" t="s">
        <v>18</v>
      </c>
      <c r="E128" t="s">
        <v>75</v>
      </c>
      <c r="F128" t="s">
        <v>31</v>
      </c>
      <c r="G128" s="11">
        <v>45452</v>
      </c>
      <c r="H128" s="12">
        <v>45272</v>
      </c>
      <c r="I128" t="s">
        <v>21</v>
      </c>
      <c r="J128" t="s">
        <v>22</v>
      </c>
      <c r="K128" t="s">
        <v>23</v>
      </c>
      <c r="L128" t="s">
        <v>24</v>
      </c>
      <c r="M128" t="s">
        <v>25</v>
      </c>
      <c r="N128" t="s">
        <v>26</v>
      </c>
      <c r="O128">
        <v>5000</v>
      </c>
      <c r="P128" t="s">
        <v>18</v>
      </c>
      <c r="Q128" t="s">
        <v>883</v>
      </c>
      <c r="R128">
        <v>2023</v>
      </c>
      <c r="S128">
        <v>4</v>
      </c>
    </row>
    <row r="129" spans="1:19" x14ac:dyDescent="0.25">
      <c r="A129" t="s">
        <v>298</v>
      </c>
      <c r="B129" t="s">
        <v>77</v>
      </c>
      <c r="C129" t="s">
        <v>17</v>
      </c>
      <c r="D129" t="s">
        <v>18</v>
      </c>
      <c r="E129" t="s">
        <v>75</v>
      </c>
      <c r="F129" t="s">
        <v>31</v>
      </c>
      <c r="G129" s="11">
        <v>45452</v>
      </c>
      <c r="H129" s="12">
        <v>45272</v>
      </c>
      <c r="I129" t="s">
        <v>21</v>
      </c>
      <c r="J129" t="s">
        <v>22</v>
      </c>
      <c r="K129" t="s">
        <v>38</v>
      </c>
      <c r="L129" t="s">
        <v>299</v>
      </c>
      <c r="M129" t="s">
        <v>47</v>
      </c>
      <c r="N129" t="s">
        <v>26</v>
      </c>
      <c r="O129">
        <v>52542</v>
      </c>
      <c r="P129" t="s">
        <v>18</v>
      </c>
      <c r="Q129" t="s">
        <v>883</v>
      </c>
      <c r="R129">
        <v>2023</v>
      </c>
      <c r="S129">
        <v>4</v>
      </c>
    </row>
    <row r="130" spans="1:19" x14ac:dyDescent="0.25">
      <c r="A130" t="s">
        <v>300</v>
      </c>
      <c r="B130" t="s">
        <v>79</v>
      </c>
      <c r="C130" t="s">
        <v>44</v>
      </c>
      <c r="D130" t="s">
        <v>18</v>
      </c>
      <c r="E130" t="s">
        <v>75</v>
      </c>
      <c r="F130" t="s">
        <v>31</v>
      </c>
      <c r="G130" s="11">
        <v>45452</v>
      </c>
      <c r="H130" s="12">
        <v>45272</v>
      </c>
      <c r="I130" t="s">
        <v>81</v>
      </c>
      <c r="J130" t="s">
        <v>37</v>
      </c>
      <c r="K130" t="s">
        <v>38</v>
      </c>
      <c r="L130" t="s">
        <v>220</v>
      </c>
      <c r="M130" t="s">
        <v>25</v>
      </c>
      <c r="N130" t="s">
        <v>26</v>
      </c>
      <c r="O130">
        <v>5000</v>
      </c>
      <c r="P130" t="s">
        <v>18</v>
      </c>
      <c r="Q130" t="s">
        <v>883</v>
      </c>
      <c r="R130">
        <v>2023</v>
      </c>
      <c r="S130">
        <v>4</v>
      </c>
    </row>
    <row r="131" spans="1:19" x14ac:dyDescent="0.25">
      <c r="A131" t="s">
        <v>301</v>
      </c>
      <c r="B131" t="s">
        <v>83</v>
      </c>
      <c r="C131" t="s">
        <v>36</v>
      </c>
      <c r="D131" t="s">
        <v>18</v>
      </c>
      <c r="E131" t="s">
        <v>75</v>
      </c>
      <c r="F131" t="s">
        <v>31</v>
      </c>
      <c r="G131" s="11">
        <v>45452</v>
      </c>
      <c r="H131" s="12">
        <v>45272</v>
      </c>
      <c r="I131" t="s">
        <v>21</v>
      </c>
      <c r="J131" t="s">
        <v>22</v>
      </c>
      <c r="K131" t="s">
        <v>32</v>
      </c>
      <c r="L131" t="s">
        <v>220</v>
      </c>
      <c r="M131" t="s">
        <v>25</v>
      </c>
      <c r="N131" t="s">
        <v>26</v>
      </c>
      <c r="O131">
        <v>5000</v>
      </c>
      <c r="P131" t="s">
        <v>18</v>
      </c>
      <c r="Q131" t="s">
        <v>883</v>
      </c>
      <c r="R131">
        <v>2023</v>
      </c>
      <c r="S131">
        <v>4</v>
      </c>
    </row>
    <row r="132" spans="1:19" x14ac:dyDescent="0.25">
      <c r="A132" t="s">
        <v>302</v>
      </c>
      <c r="B132" t="s">
        <v>85</v>
      </c>
      <c r="C132" t="s">
        <v>36</v>
      </c>
      <c r="D132" t="s">
        <v>18</v>
      </c>
      <c r="E132" t="s">
        <v>75</v>
      </c>
      <c r="F132" t="s">
        <v>31</v>
      </c>
      <c r="G132" s="11">
        <v>45452</v>
      </c>
      <c r="H132" s="12">
        <v>45272</v>
      </c>
      <c r="I132" t="s">
        <v>21</v>
      </c>
      <c r="J132" t="s">
        <v>22</v>
      </c>
      <c r="K132" t="s">
        <v>23</v>
      </c>
      <c r="L132" t="s">
        <v>220</v>
      </c>
      <c r="M132" t="s">
        <v>25</v>
      </c>
      <c r="N132" t="s">
        <v>26</v>
      </c>
      <c r="O132">
        <v>5000</v>
      </c>
      <c r="P132" t="s">
        <v>18</v>
      </c>
      <c r="Q132" t="s">
        <v>883</v>
      </c>
      <c r="R132">
        <v>2023</v>
      </c>
      <c r="S132">
        <v>4</v>
      </c>
    </row>
    <row r="133" spans="1:19" x14ac:dyDescent="0.25">
      <c r="A133" t="s">
        <v>303</v>
      </c>
      <c r="B133" t="s">
        <v>87</v>
      </c>
      <c r="C133" t="s">
        <v>36</v>
      </c>
      <c r="D133" t="s">
        <v>18</v>
      </c>
      <c r="E133" t="s">
        <v>75</v>
      </c>
      <c r="F133" t="s">
        <v>31</v>
      </c>
      <c r="G133" s="11">
        <v>45452</v>
      </c>
      <c r="H133" s="12">
        <v>45272</v>
      </c>
      <c r="I133" t="s">
        <v>21</v>
      </c>
      <c r="J133" t="s">
        <v>22</v>
      </c>
      <c r="K133" t="s">
        <v>32</v>
      </c>
      <c r="L133" t="s">
        <v>220</v>
      </c>
      <c r="M133" t="s">
        <v>25</v>
      </c>
      <c r="N133" t="s">
        <v>26</v>
      </c>
      <c r="O133">
        <v>5000</v>
      </c>
      <c r="P133" t="s">
        <v>18</v>
      </c>
      <c r="Q133" t="s">
        <v>883</v>
      </c>
      <c r="R133">
        <v>2023</v>
      </c>
      <c r="S133">
        <v>4</v>
      </c>
    </row>
    <row r="134" spans="1:19" x14ac:dyDescent="0.25">
      <c r="A134" t="s">
        <v>304</v>
      </c>
      <c r="B134" t="s">
        <v>89</v>
      </c>
      <c r="C134" t="s">
        <v>44</v>
      </c>
      <c r="D134" t="s">
        <v>18</v>
      </c>
      <c r="E134" t="s">
        <v>75</v>
      </c>
      <c r="F134" t="s">
        <v>31</v>
      </c>
      <c r="G134" s="11">
        <v>45452</v>
      </c>
      <c r="H134" s="12">
        <v>45272</v>
      </c>
      <c r="I134" t="s">
        <v>21</v>
      </c>
      <c r="J134" t="s">
        <v>37</v>
      </c>
      <c r="K134" t="s">
        <v>23</v>
      </c>
      <c r="L134" t="s">
        <v>220</v>
      </c>
      <c r="M134" t="s">
        <v>25</v>
      </c>
      <c r="N134" t="s">
        <v>26</v>
      </c>
      <c r="O134">
        <v>5000</v>
      </c>
      <c r="P134" t="s">
        <v>18</v>
      </c>
      <c r="Q134" t="s">
        <v>883</v>
      </c>
      <c r="R134">
        <v>2023</v>
      </c>
      <c r="S134">
        <v>4</v>
      </c>
    </row>
    <row r="135" spans="1:19" x14ac:dyDescent="0.25">
      <c r="A135" t="s">
        <v>305</v>
      </c>
      <c r="B135" t="s">
        <v>91</v>
      </c>
      <c r="C135" t="s">
        <v>36</v>
      </c>
      <c r="D135" t="s">
        <v>18</v>
      </c>
      <c r="E135" t="s">
        <v>75</v>
      </c>
      <c r="F135" t="s">
        <v>31</v>
      </c>
      <c r="G135" s="11">
        <v>45452</v>
      </c>
      <c r="H135" s="12">
        <v>45272</v>
      </c>
      <c r="I135" t="s">
        <v>21</v>
      </c>
      <c r="J135" t="s">
        <v>22</v>
      </c>
      <c r="K135" t="s">
        <v>115</v>
      </c>
      <c r="L135" t="s">
        <v>220</v>
      </c>
      <c r="M135" t="s">
        <v>25</v>
      </c>
      <c r="N135" t="s">
        <v>26</v>
      </c>
      <c r="O135">
        <v>5000</v>
      </c>
      <c r="P135" t="s">
        <v>18</v>
      </c>
      <c r="Q135" t="s">
        <v>883</v>
      </c>
      <c r="R135">
        <v>2023</v>
      </c>
      <c r="S135">
        <v>4</v>
      </c>
    </row>
    <row r="136" spans="1:19" x14ac:dyDescent="0.25">
      <c r="A136" t="s">
        <v>306</v>
      </c>
      <c r="B136" t="s">
        <v>307</v>
      </c>
      <c r="C136" t="s">
        <v>17</v>
      </c>
      <c r="D136" t="s">
        <v>18</v>
      </c>
      <c r="E136" t="s">
        <v>75</v>
      </c>
      <c r="F136" t="s">
        <v>31</v>
      </c>
      <c r="G136" s="11">
        <v>45452</v>
      </c>
      <c r="H136" s="12">
        <v>45272</v>
      </c>
      <c r="I136" t="s">
        <v>21</v>
      </c>
      <c r="J136" t="s">
        <v>37</v>
      </c>
      <c r="K136" t="s">
        <v>23</v>
      </c>
      <c r="L136" t="s">
        <v>308</v>
      </c>
      <c r="M136" t="s">
        <v>40</v>
      </c>
      <c r="N136" t="s">
        <v>26</v>
      </c>
      <c r="O136">
        <v>5000</v>
      </c>
      <c r="P136" t="s">
        <v>18</v>
      </c>
      <c r="Q136" t="s">
        <v>883</v>
      </c>
      <c r="R136">
        <v>2023</v>
      </c>
      <c r="S136">
        <v>4</v>
      </c>
    </row>
    <row r="137" spans="1:19" x14ac:dyDescent="0.25">
      <c r="A137" t="s">
        <v>309</v>
      </c>
      <c r="B137" t="s">
        <v>310</v>
      </c>
      <c r="C137" t="s">
        <v>36</v>
      </c>
      <c r="D137" t="s">
        <v>18</v>
      </c>
      <c r="E137" t="s">
        <v>75</v>
      </c>
      <c r="F137" t="s">
        <v>31</v>
      </c>
      <c r="G137" s="11">
        <v>45452</v>
      </c>
      <c r="H137" s="12">
        <v>45272</v>
      </c>
      <c r="I137" t="s">
        <v>21</v>
      </c>
      <c r="J137" t="s">
        <v>22</v>
      </c>
      <c r="K137" t="s">
        <v>23</v>
      </c>
      <c r="L137" t="s">
        <v>220</v>
      </c>
      <c r="M137" t="s">
        <v>25</v>
      </c>
      <c r="N137" t="s">
        <v>26</v>
      </c>
      <c r="O137">
        <v>5000</v>
      </c>
      <c r="P137" t="s">
        <v>18</v>
      </c>
      <c r="Q137" t="s">
        <v>883</v>
      </c>
      <c r="R137">
        <v>2023</v>
      </c>
      <c r="S137">
        <v>4</v>
      </c>
    </row>
    <row r="138" spans="1:19" x14ac:dyDescent="0.25">
      <c r="A138" t="s">
        <v>311</v>
      </c>
      <c r="B138" t="s">
        <v>312</v>
      </c>
      <c r="C138" t="s">
        <v>36</v>
      </c>
      <c r="D138" t="s">
        <v>18</v>
      </c>
      <c r="E138" t="s">
        <v>75</v>
      </c>
      <c r="F138" t="s">
        <v>31</v>
      </c>
      <c r="G138" s="11">
        <v>45452</v>
      </c>
      <c r="H138" s="12">
        <v>45272</v>
      </c>
      <c r="I138" t="s">
        <v>21</v>
      </c>
      <c r="J138" t="s">
        <v>22</v>
      </c>
      <c r="K138" t="s">
        <v>23</v>
      </c>
      <c r="L138" t="s">
        <v>24</v>
      </c>
      <c r="M138" t="s">
        <v>25</v>
      </c>
      <c r="N138" t="s">
        <v>26</v>
      </c>
      <c r="O138">
        <v>5000</v>
      </c>
      <c r="P138" t="s">
        <v>18</v>
      </c>
      <c r="Q138" t="s">
        <v>883</v>
      </c>
      <c r="R138">
        <v>2023</v>
      </c>
      <c r="S138">
        <v>4</v>
      </c>
    </row>
    <row r="139" spans="1:19" x14ac:dyDescent="0.25">
      <c r="A139" t="s">
        <v>313</v>
      </c>
      <c r="B139" t="s">
        <v>314</v>
      </c>
      <c r="C139" t="s">
        <v>36</v>
      </c>
      <c r="D139" t="s">
        <v>18</v>
      </c>
      <c r="E139" t="s">
        <v>75</v>
      </c>
      <c r="F139" t="s">
        <v>31</v>
      </c>
      <c r="G139" s="11">
        <v>45452</v>
      </c>
      <c r="H139" s="12">
        <v>45272</v>
      </c>
      <c r="I139" t="s">
        <v>21</v>
      </c>
      <c r="J139" t="s">
        <v>22</v>
      </c>
      <c r="K139" t="s">
        <v>58</v>
      </c>
      <c r="L139" t="s">
        <v>220</v>
      </c>
      <c r="M139" t="s">
        <v>25</v>
      </c>
      <c r="N139" t="s">
        <v>26</v>
      </c>
      <c r="O139">
        <v>5000</v>
      </c>
      <c r="P139" t="s">
        <v>18</v>
      </c>
      <c r="Q139" t="s">
        <v>883</v>
      </c>
      <c r="R139">
        <v>2023</v>
      </c>
      <c r="S139">
        <v>4</v>
      </c>
    </row>
    <row r="140" spans="1:19" x14ac:dyDescent="0.25">
      <c r="A140" t="s">
        <v>315</v>
      </c>
      <c r="B140" t="s">
        <v>316</v>
      </c>
      <c r="C140" t="s">
        <v>36</v>
      </c>
      <c r="D140" t="s">
        <v>18</v>
      </c>
      <c r="E140" t="s">
        <v>75</v>
      </c>
      <c r="F140" t="s">
        <v>31</v>
      </c>
      <c r="G140" s="11">
        <v>45452</v>
      </c>
      <c r="H140" s="12">
        <v>45272</v>
      </c>
      <c r="I140" t="s">
        <v>21</v>
      </c>
      <c r="J140" t="s">
        <v>37</v>
      </c>
      <c r="K140" t="s">
        <v>38</v>
      </c>
      <c r="L140" t="s">
        <v>220</v>
      </c>
      <c r="M140" t="s">
        <v>25</v>
      </c>
      <c r="N140" t="s">
        <v>26</v>
      </c>
      <c r="O140">
        <v>5000</v>
      </c>
      <c r="P140" t="s">
        <v>18</v>
      </c>
      <c r="Q140" t="s">
        <v>883</v>
      </c>
      <c r="R140">
        <v>2023</v>
      </c>
      <c r="S140">
        <v>4</v>
      </c>
    </row>
    <row r="141" spans="1:19" x14ac:dyDescent="0.25">
      <c r="A141" t="s">
        <v>317</v>
      </c>
      <c r="B141" t="s">
        <v>318</v>
      </c>
      <c r="C141" t="s">
        <v>17</v>
      </c>
      <c r="D141" t="s">
        <v>18</v>
      </c>
      <c r="E141" t="s">
        <v>75</v>
      </c>
      <c r="F141" t="s">
        <v>31</v>
      </c>
      <c r="G141" s="11">
        <v>45452</v>
      </c>
      <c r="H141" s="12">
        <v>45272</v>
      </c>
      <c r="I141" t="s">
        <v>81</v>
      </c>
      <c r="J141" t="s">
        <v>37</v>
      </c>
      <c r="K141" t="s">
        <v>58</v>
      </c>
      <c r="L141" t="s">
        <v>24</v>
      </c>
      <c r="M141" t="s">
        <v>25</v>
      </c>
      <c r="N141" t="s">
        <v>26</v>
      </c>
      <c r="O141">
        <v>5000</v>
      </c>
      <c r="P141" t="s">
        <v>18</v>
      </c>
      <c r="Q141" t="s">
        <v>883</v>
      </c>
      <c r="R141">
        <v>2023</v>
      </c>
      <c r="S141">
        <v>4</v>
      </c>
    </row>
    <row r="142" spans="1:19" x14ac:dyDescent="0.25">
      <c r="A142" t="s">
        <v>319</v>
      </c>
      <c r="B142" t="s">
        <v>320</v>
      </c>
      <c r="C142" t="s">
        <v>44</v>
      </c>
      <c r="D142" t="s">
        <v>18</v>
      </c>
      <c r="E142" t="s">
        <v>75</v>
      </c>
      <c r="F142" t="s">
        <v>31</v>
      </c>
      <c r="G142" s="11">
        <v>45452</v>
      </c>
      <c r="H142" s="12">
        <v>45272</v>
      </c>
      <c r="I142" t="s">
        <v>81</v>
      </c>
      <c r="J142" t="s">
        <v>22</v>
      </c>
      <c r="K142" t="s">
        <v>58</v>
      </c>
      <c r="L142" t="s">
        <v>24</v>
      </c>
      <c r="M142" t="s">
        <v>25</v>
      </c>
      <c r="N142" t="s">
        <v>26</v>
      </c>
      <c r="O142">
        <v>5000</v>
      </c>
      <c r="P142" t="s">
        <v>18</v>
      </c>
      <c r="Q142" t="s">
        <v>883</v>
      </c>
      <c r="R142">
        <v>2023</v>
      </c>
      <c r="S142">
        <v>4</v>
      </c>
    </row>
    <row r="143" spans="1:19" x14ac:dyDescent="0.25">
      <c r="A143" t="s">
        <v>321</v>
      </c>
      <c r="B143" t="s">
        <v>322</v>
      </c>
      <c r="C143" t="s">
        <v>17</v>
      </c>
      <c r="D143" t="s">
        <v>18</v>
      </c>
      <c r="E143" t="s">
        <v>75</v>
      </c>
      <c r="F143" t="s">
        <v>31</v>
      </c>
      <c r="G143" s="11">
        <v>45452</v>
      </c>
      <c r="H143" s="12">
        <v>45272</v>
      </c>
      <c r="I143" t="s">
        <v>81</v>
      </c>
      <c r="J143" t="s">
        <v>37</v>
      </c>
      <c r="K143" t="s">
        <v>32</v>
      </c>
      <c r="L143" t="s">
        <v>124</v>
      </c>
      <c r="M143" t="s">
        <v>47</v>
      </c>
      <c r="N143" t="s">
        <v>26</v>
      </c>
      <c r="O143">
        <v>5000</v>
      </c>
      <c r="P143" t="s">
        <v>18</v>
      </c>
      <c r="Q143" t="s">
        <v>883</v>
      </c>
      <c r="R143">
        <v>2023</v>
      </c>
      <c r="S143">
        <v>4</v>
      </c>
    </row>
    <row r="144" spans="1:19" x14ac:dyDescent="0.25">
      <c r="A144" t="s">
        <v>323</v>
      </c>
      <c r="B144" t="s">
        <v>324</v>
      </c>
      <c r="C144" t="s">
        <v>44</v>
      </c>
      <c r="D144" t="s">
        <v>18</v>
      </c>
      <c r="E144" t="s">
        <v>75</v>
      </c>
      <c r="F144" t="s">
        <v>31</v>
      </c>
      <c r="G144" s="11">
        <v>45452</v>
      </c>
      <c r="H144" s="12">
        <v>45272</v>
      </c>
      <c r="I144" t="s">
        <v>81</v>
      </c>
      <c r="J144" t="s">
        <v>22</v>
      </c>
      <c r="K144" t="s">
        <v>32</v>
      </c>
      <c r="L144" t="s">
        <v>116</v>
      </c>
      <c r="M144" t="s">
        <v>47</v>
      </c>
      <c r="N144" t="s">
        <v>26</v>
      </c>
      <c r="O144">
        <v>5000</v>
      </c>
      <c r="P144" t="s">
        <v>18</v>
      </c>
      <c r="Q144" t="s">
        <v>883</v>
      </c>
      <c r="R144">
        <v>2023</v>
      </c>
      <c r="S144">
        <v>4</v>
      </c>
    </row>
    <row r="145" spans="1:19" x14ac:dyDescent="0.25">
      <c r="A145" t="s">
        <v>325</v>
      </c>
      <c r="B145" t="s">
        <v>326</v>
      </c>
      <c r="C145" t="s">
        <v>44</v>
      </c>
      <c r="D145" t="s">
        <v>18</v>
      </c>
      <c r="E145" t="s">
        <v>75</v>
      </c>
      <c r="F145" t="s">
        <v>31</v>
      </c>
      <c r="G145" s="11">
        <v>45452</v>
      </c>
      <c r="H145" s="12">
        <v>45272</v>
      </c>
      <c r="I145" t="s">
        <v>81</v>
      </c>
      <c r="J145" t="s">
        <v>22</v>
      </c>
      <c r="K145" t="s">
        <v>58</v>
      </c>
      <c r="L145" t="s">
        <v>96</v>
      </c>
      <c r="M145" t="s">
        <v>47</v>
      </c>
      <c r="N145" t="s">
        <v>26</v>
      </c>
      <c r="O145">
        <v>5000</v>
      </c>
      <c r="P145" t="s">
        <v>18</v>
      </c>
      <c r="Q145" t="s">
        <v>883</v>
      </c>
      <c r="R145">
        <v>2023</v>
      </c>
      <c r="S145">
        <v>4</v>
      </c>
    </row>
    <row r="146" spans="1:19" x14ac:dyDescent="0.25">
      <c r="A146" t="s">
        <v>327</v>
      </c>
      <c r="B146" t="s">
        <v>328</v>
      </c>
      <c r="C146" t="s">
        <v>44</v>
      </c>
      <c r="D146" t="s">
        <v>18</v>
      </c>
      <c r="E146" t="s">
        <v>75</v>
      </c>
      <c r="F146" t="s">
        <v>31</v>
      </c>
      <c r="G146" s="11">
        <v>45452</v>
      </c>
      <c r="H146" s="12">
        <v>45272</v>
      </c>
      <c r="I146" t="s">
        <v>81</v>
      </c>
      <c r="J146" t="s">
        <v>22</v>
      </c>
      <c r="K146" t="s">
        <v>38</v>
      </c>
      <c r="L146" t="s">
        <v>96</v>
      </c>
      <c r="M146" t="s">
        <v>47</v>
      </c>
      <c r="N146" t="s">
        <v>26</v>
      </c>
      <c r="O146">
        <v>5000</v>
      </c>
      <c r="P146" t="s">
        <v>18</v>
      </c>
      <c r="Q146" t="s">
        <v>883</v>
      </c>
      <c r="R146">
        <v>2023</v>
      </c>
      <c r="S146">
        <v>4</v>
      </c>
    </row>
    <row r="147" spans="1:19" x14ac:dyDescent="0.25">
      <c r="A147" t="s">
        <v>329</v>
      </c>
      <c r="B147" t="s">
        <v>330</v>
      </c>
      <c r="C147" t="s">
        <v>44</v>
      </c>
      <c r="D147" t="s">
        <v>18</v>
      </c>
      <c r="E147" t="s">
        <v>75</v>
      </c>
      <c r="F147" t="s">
        <v>31</v>
      </c>
      <c r="G147" s="11">
        <v>45452</v>
      </c>
      <c r="H147" s="12">
        <v>45272</v>
      </c>
      <c r="I147" t="s">
        <v>81</v>
      </c>
      <c r="J147" t="s">
        <v>22</v>
      </c>
      <c r="K147" t="s">
        <v>32</v>
      </c>
      <c r="L147" t="s">
        <v>24</v>
      </c>
      <c r="M147" t="s">
        <v>25</v>
      </c>
      <c r="N147" t="s">
        <v>26</v>
      </c>
      <c r="O147">
        <v>5000</v>
      </c>
      <c r="P147" t="s">
        <v>18</v>
      </c>
      <c r="Q147" t="s">
        <v>883</v>
      </c>
      <c r="R147">
        <v>2023</v>
      </c>
      <c r="S147">
        <v>4</v>
      </c>
    </row>
    <row r="148" spans="1:19" x14ac:dyDescent="0.25">
      <c r="A148" t="s">
        <v>331</v>
      </c>
      <c r="B148" t="s">
        <v>332</v>
      </c>
      <c r="C148" t="s">
        <v>17</v>
      </c>
      <c r="D148" t="s">
        <v>18</v>
      </c>
      <c r="E148" t="s">
        <v>75</v>
      </c>
      <c r="F148" t="s">
        <v>31</v>
      </c>
      <c r="G148" s="11">
        <v>45452</v>
      </c>
      <c r="H148" s="12">
        <v>45272</v>
      </c>
      <c r="I148" t="s">
        <v>21</v>
      </c>
      <c r="J148" t="s">
        <v>22</v>
      </c>
      <c r="K148" t="s">
        <v>38</v>
      </c>
      <c r="L148" t="s">
        <v>24</v>
      </c>
      <c r="M148" t="s">
        <v>25</v>
      </c>
      <c r="N148" t="s">
        <v>26</v>
      </c>
      <c r="O148">
        <v>5000</v>
      </c>
      <c r="P148" t="s">
        <v>18</v>
      </c>
      <c r="Q148" t="s">
        <v>883</v>
      </c>
      <c r="R148">
        <v>2023</v>
      </c>
      <c r="S148">
        <v>4</v>
      </c>
    </row>
    <row r="149" spans="1:19" x14ac:dyDescent="0.25">
      <c r="A149" t="s">
        <v>333</v>
      </c>
      <c r="B149" t="s">
        <v>334</v>
      </c>
      <c r="C149" t="s">
        <v>36</v>
      </c>
      <c r="D149" t="s">
        <v>18</v>
      </c>
      <c r="E149" t="s">
        <v>75</v>
      </c>
      <c r="F149" t="s">
        <v>31</v>
      </c>
      <c r="G149" s="11">
        <v>45452</v>
      </c>
      <c r="H149" s="12">
        <v>45272</v>
      </c>
      <c r="I149" t="s">
        <v>21</v>
      </c>
      <c r="J149" t="s">
        <v>22</v>
      </c>
      <c r="K149" t="s">
        <v>58</v>
      </c>
      <c r="L149" t="s">
        <v>24</v>
      </c>
      <c r="M149" t="s">
        <v>25</v>
      </c>
      <c r="N149" t="s">
        <v>26</v>
      </c>
      <c r="O149">
        <v>5000</v>
      </c>
      <c r="P149" t="s">
        <v>18</v>
      </c>
      <c r="Q149" t="s">
        <v>883</v>
      </c>
      <c r="R149">
        <v>2023</v>
      </c>
      <c r="S149">
        <v>4</v>
      </c>
    </row>
    <row r="150" spans="1:19" x14ac:dyDescent="0.25">
      <c r="A150" t="s">
        <v>335</v>
      </c>
      <c r="B150" t="s">
        <v>336</v>
      </c>
      <c r="C150" t="s">
        <v>36</v>
      </c>
      <c r="D150" t="s">
        <v>18</v>
      </c>
      <c r="E150" t="s">
        <v>75</v>
      </c>
      <c r="F150" t="s">
        <v>31</v>
      </c>
      <c r="G150" s="11">
        <v>45452</v>
      </c>
      <c r="H150" s="12">
        <v>45272</v>
      </c>
      <c r="I150" t="s">
        <v>21</v>
      </c>
      <c r="J150" t="s">
        <v>22</v>
      </c>
      <c r="K150" t="s">
        <v>23</v>
      </c>
      <c r="L150" t="s">
        <v>24</v>
      </c>
      <c r="M150" t="s">
        <v>25</v>
      </c>
      <c r="N150" t="s">
        <v>26</v>
      </c>
      <c r="O150">
        <v>5000</v>
      </c>
      <c r="P150" t="s">
        <v>18</v>
      </c>
      <c r="Q150" t="s">
        <v>883</v>
      </c>
      <c r="R150">
        <v>2023</v>
      </c>
      <c r="S150">
        <v>4</v>
      </c>
    </row>
    <row r="151" spans="1:19" x14ac:dyDescent="0.25">
      <c r="A151" t="s">
        <v>337</v>
      </c>
      <c r="B151" t="s">
        <v>338</v>
      </c>
      <c r="C151" t="s">
        <v>36</v>
      </c>
      <c r="D151" t="s">
        <v>18</v>
      </c>
      <c r="E151" t="s">
        <v>75</v>
      </c>
      <c r="F151" t="s">
        <v>31</v>
      </c>
      <c r="G151" s="11">
        <v>45452</v>
      </c>
      <c r="H151" s="12">
        <v>45272</v>
      </c>
      <c r="I151" t="s">
        <v>21</v>
      </c>
      <c r="J151" t="s">
        <v>22</v>
      </c>
      <c r="K151" t="s">
        <v>32</v>
      </c>
      <c r="L151" t="s">
        <v>24</v>
      </c>
      <c r="M151" t="s">
        <v>25</v>
      </c>
      <c r="N151" t="s">
        <v>26</v>
      </c>
      <c r="O151">
        <v>5000</v>
      </c>
      <c r="P151" t="s">
        <v>18</v>
      </c>
      <c r="Q151" t="s">
        <v>883</v>
      </c>
      <c r="R151">
        <v>2023</v>
      </c>
      <c r="S151">
        <v>4</v>
      </c>
    </row>
    <row r="152" spans="1:19" x14ac:dyDescent="0.25">
      <c r="A152" t="s">
        <v>339</v>
      </c>
      <c r="B152" t="s">
        <v>340</v>
      </c>
      <c r="C152" t="s">
        <v>44</v>
      </c>
      <c r="D152" t="s">
        <v>18</v>
      </c>
      <c r="E152" t="s">
        <v>75</v>
      </c>
      <c r="F152" t="s">
        <v>31</v>
      </c>
      <c r="G152" s="11">
        <v>45452</v>
      </c>
      <c r="H152" s="12">
        <v>45272</v>
      </c>
      <c r="I152" t="s">
        <v>21</v>
      </c>
      <c r="J152" t="s">
        <v>22</v>
      </c>
      <c r="K152" t="s">
        <v>38</v>
      </c>
      <c r="L152" t="s">
        <v>24</v>
      </c>
      <c r="M152" t="s">
        <v>25</v>
      </c>
      <c r="N152" t="s">
        <v>26</v>
      </c>
      <c r="O152">
        <v>5000</v>
      </c>
      <c r="P152" t="s">
        <v>18</v>
      </c>
      <c r="Q152" t="s">
        <v>883</v>
      </c>
      <c r="R152">
        <v>2023</v>
      </c>
      <c r="S152">
        <v>4</v>
      </c>
    </row>
    <row r="153" spans="1:19" x14ac:dyDescent="0.25">
      <c r="A153" t="s">
        <v>341</v>
      </c>
      <c r="B153" t="s">
        <v>342</v>
      </c>
      <c r="C153" t="s">
        <v>17</v>
      </c>
      <c r="D153" t="s">
        <v>18</v>
      </c>
      <c r="E153" t="s">
        <v>75</v>
      </c>
      <c r="F153" t="s">
        <v>31</v>
      </c>
      <c r="G153" s="11">
        <v>45452</v>
      </c>
      <c r="H153" s="12">
        <v>45272</v>
      </c>
      <c r="I153" t="s">
        <v>21</v>
      </c>
      <c r="J153" t="s">
        <v>22</v>
      </c>
      <c r="K153" t="s">
        <v>38</v>
      </c>
      <c r="L153" t="s">
        <v>96</v>
      </c>
      <c r="M153" t="s">
        <v>47</v>
      </c>
      <c r="N153" t="s">
        <v>26</v>
      </c>
      <c r="O153">
        <v>5000</v>
      </c>
      <c r="P153" t="s">
        <v>18</v>
      </c>
      <c r="Q153" t="s">
        <v>883</v>
      </c>
      <c r="R153">
        <v>2023</v>
      </c>
      <c r="S153">
        <v>4</v>
      </c>
    </row>
    <row r="154" spans="1:19" x14ac:dyDescent="0.25">
      <c r="A154" t="s">
        <v>343</v>
      </c>
      <c r="B154" t="s">
        <v>344</v>
      </c>
      <c r="C154" t="s">
        <v>205</v>
      </c>
      <c r="D154" t="s">
        <v>18</v>
      </c>
      <c r="E154" t="s">
        <v>75</v>
      </c>
      <c r="F154" t="s">
        <v>31</v>
      </c>
      <c r="G154" s="11">
        <v>45452</v>
      </c>
      <c r="H154" s="12">
        <v>45272</v>
      </c>
      <c r="I154" t="s">
        <v>21</v>
      </c>
      <c r="J154" t="s">
        <v>22</v>
      </c>
      <c r="K154" t="s">
        <v>32</v>
      </c>
      <c r="L154" t="s">
        <v>290</v>
      </c>
      <c r="M154" t="s">
        <v>47</v>
      </c>
      <c r="N154" t="s">
        <v>26</v>
      </c>
      <c r="O154">
        <v>5000</v>
      </c>
      <c r="P154" t="s">
        <v>18</v>
      </c>
      <c r="Q154" t="s">
        <v>883</v>
      </c>
      <c r="R154">
        <v>2023</v>
      </c>
      <c r="S154">
        <v>4</v>
      </c>
    </row>
    <row r="155" spans="1:19" x14ac:dyDescent="0.25">
      <c r="A155" t="s">
        <v>345</v>
      </c>
      <c r="B155" t="s">
        <v>346</v>
      </c>
      <c r="C155" t="s">
        <v>205</v>
      </c>
      <c r="D155" t="s">
        <v>18</v>
      </c>
      <c r="E155" t="s">
        <v>75</v>
      </c>
      <c r="F155" t="s">
        <v>31</v>
      </c>
      <c r="G155" s="11">
        <v>45452</v>
      </c>
      <c r="H155" s="12">
        <v>45272</v>
      </c>
      <c r="I155" t="s">
        <v>21</v>
      </c>
      <c r="J155" t="s">
        <v>22</v>
      </c>
      <c r="K155" t="s">
        <v>23</v>
      </c>
      <c r="L155" t="s">
        <v>24</v>
      </c>
      <c r="M155" t="s">
        <v>25</v>
      </c>
      <c r="N155" t="s">
        <v>26</v>
      </c>
      <c r="O155">
        <v>5000</v>
      </c>
      <c r="P155" t="s">
        <v>18</v>
      </c>
      <c r="Q155" t="s">
        <v>883</v>
      </c>
      <c r="R155">
        <v>2023</v>
      </c>
      <c r="S155">
        <v>4</v>
      </c>
    </row>
    <row r="156" spans="1:19" x14ac:dyDescent="0.25">
      <c r="A156" t="s">
        <v>347</v>
      </c>
      <c r="B156" t="s">
        <v>348</v>
      </c>
      <c r="C156" t="s">
        <v>205</v>
      </c>
      <c r="D156" t="s">
        <v>18</v>
      </c>
      <c r="E156" t="s">
        <v>75</v>
      </c>
      <c r="F156" t="s">
        <v>31</v>
      </c>
      <c r="G156" s="11">
        <v>45452</v>
      </c>
      <c r="H156" s="12">
        <v>45272</v>
      </c>
      <c r="I156" t="s">
        <v>21</v>
      </c>
      <c r="J156" t="s">
        <v>22</v>
      </c>
      <c r="K156" t="s">
        <v>38</v>
      </c>
      <c r="L156" t="s">
        <v>24</v>
      </c>
      <c r="M156" t="s">
        <v>25</v>
      </c>
      <c r="N156" t="s">
        <v>26</v>
      </c>
      <c r="O156">
        <v>5000</v>
      </c>
      <c r="P156" t="s">
        <v>18</v>
      </c>
      <c r="Q156" t="s">
        <v>883</v>
      </c>
      <c r="R156">
        <v>2023</v>
      </c>
      <c r="S156">
        <v>4</v>
      </c>
    </row>
    <row r="157" spans="1:19" x14ac:dyDescent="0.25">
      <c r="A157" t="s">
        <v>349</v>
      </c>
      <c r="B157" t="s">
        <v>350</v>
      </c>
      <c r="C157" t="s">
        <v>205</v>
      </c>
      <c r="D157" t="s">
        <v>202</v>
      </c>
      <c r="E157" t="s">
        <v>75</v>
      </c>
      <c r="F157" t="s">
        <v>31</v>
      </c>
      <c r="G157" s="11">
        <v>45452</v>
      </c>
      <c r="H157" s="12">
        <v>45272</v>
      </c>
      <c r="I157" t="s">
        <v>21</v>
      </c>
      <c r="J157" t="s">
        <v>22</v>
      </c>
      <c r="K157" t="s">
        <v>32</v>
      </c>
      <c r="L157" t="s">
        <v>24</v>
      </c>
      <c r="M157" t="s">
        <v>25</v>
      </c>
      <c r="N157" t="s">
        <v>26</v>
      </c>
      <c r="O157">
        <v>5000</v>
      </c>
      <c r="P157" t="s">
        <v>872</v>
      </c>
      <c r="Q157" t="s">
        <v>883</v>
      </c>
      <c r="R157">
        <v>2023</v>
      </c>
      <c r="S157">
        <v>4</v>
      </c>
    </row>
    <row r="158" spans="1:19" x14ac:dyDescent="0.25">
      <c r="A158" t="s">
        <v>351</v>
      </c>
      <c r="B158" t="s">
        <v>352</v>
      </c>
      <c r="C158" t="s">
        <v>44</v>
      </c>
      <c r="D158" t="s">
        <v>18</v>
      </c>
      <c r="E158" t="s">
        <v>75</v>
      </c>
      <c r="F158" t="s">
        <v>31</v>
      </c>
      <c r="G158" s="11">
        <v>45452</v>
      </c>
      <c r="H158" s="12">
        <v>45272</v>
      </c>
      <c r="I158" t="s">
        <v>81</v>
      </c>
      <c r="J158" t="s">
        <v>22</v>
      </c>
      <c r="K158" t="s">
        <v>32</v>
      </c>
      <c r="L158" t="s">
        <v>96</v>
      </c>
      <c r="M158" t="s">
        <v>47</v>
      </c>
      <c r="N158" t="s">
        <v>26</v>
      </c>
      <c r="O158">
        <v>5000</v>
      </c>
      <c r="P158" t="s">
        <v>18</v>
      </c>
      <c r="Q158" t="s">
        <v>883</v>
      </c>
      <c r="R158">
        <v>2023</v>
      </c>
      <c r="S158">
        <v>4</v>
      </c>
    </row>
    <row r="159" spans="1:19" x14ac:dyDescent="0.25">
      <c r="A159" t="s">
        <v>353</v>
      </c>
      <c r="B159" t="s">
        <v>354</v>
      </c>
      <c r="C159" t="s">
        <v>44</v>
      </c>
      <c r="D159" t="s">
        <v>18</v>
      </c>
      <c r="E159" t="s">
        <v>75</v>
      </c>
      <c r="F159" t="s">
        <v>31</v>
      </c>
      <c r="G159" s="11">
        <v>45452</v>
      </c>
      <c r="H159" s="12">
        <v>45272</v>
      </c>
      <c r="I159" t="s">
        <v>21</v>
      </c>
      <c r="J159" t="s">
        <v>37</v>
      </c>
      <c r="K159" t="s">
        <v>58</v>
      </c>
      <c r="L159" t="s">
        <v>96</v>
      </c>
      <c r="M159" t="s">
        <v>47</v>
      </c>
      <c r="N159" t="s">
        <v>26</v>
      </c>
      <c r="O159">
        <v>5000</v>
      </c>
      <c r="P159" t="s">
        <v>18</v>
      </c>
      <c r="Q159" t="s">
        <v>883</v>
      </c>
      <c r="R159">
        <v>2023</v>
      </c>
      <c r="S159">
        <v>4</v>
      </c>
    </row>
    <row r="160" spans="1:19" x14ac:dyDescent="0.25">
      <c r="A160" t="s">
        <v>355</v>
      </c>
      <c r="B160" t="s">
        <v>356</v>
      </c>
      <c r="C160" t="s">
        <v>36</v>
      </c>
      <c r="D160" t="s">
        <v>18</v>
      </c>
      <c r="E160" t="s">
        <v>75</v>
      </c>
      <c r="F160" t="s">
        <v>31</v>
      </c>
      <c r="G160" s="11">
        <v>45452</v>
      </c>
      <c r="H160" s="12">
        <v>45272</v>
      </c>
      <c r="I160" t="s">
        <v>21</v>
      </c>
      <c r="J160" t="s">
        <v>37</v>
      </c>
      <c r="K160" t="s">
        <v>23</v>
      </c>
      <c r="L160" t="s">
        <v>24</v>
      </c>
      <c r="M160" t="s">
        <v>25</v>
      </c>
      <c r="N160" t="s">
        <v>26</v>
      </c>
      <c r="O160">
        <v>5000</v>
      </c>
      <c r="P160" t="s">
        <v>18</v>
      </c>
      <c r="Q160" t="s">
        <v>883</v>
      </c>
      <c r="R160">
        <v>2023</v>
      </c>
      <c r="S160">
        <v>4</v>
      </c>
    </row>
    <row r="161" spans="1:19" x14ac:dyDescent="0.25">
      <c r="A161" t="s">
        <v>357</v>
      </c>
      <c r="B161" t="s">
        <v>358</v>
      </c>
      <c r="C161" t="s">
        <v>36</v>
      </c>
      <c r="D161" t="s">
        <v>18</v>
      </c>
      <c r="E161" t="s">
        <v>75</v>
      </c>
      <c r="F161" t="s">
        <v>31</v>
      </c>
      <c r="G161" s="11">
        <v>45452</v>
      </c>
      <c r="H161" s="12">
        <v>45272</v>
      </c>
      <c r="I161" t="s">
        <v>21</v>
      </c>
      <c r="J161" t="s">
        <v>22</v>
      </c>
      <c r="K161" t="s">
        <v>23</v>
      </c>
      <c r="L161" t="s">
        <v>24</v>
      </c>
      <c r="M161" t="s">
        <v>25</v>
      </c>
      <c r="N161" t="s">
        <v>26</v>
      </c>
      <c r="O161">
        <v>5000</v>
      </c>
      <c r="P161" t="s">
        <v>18</v>
      </c>
      <c r="Q161" t="s">
        <v>883</v>
      </c>
      <c r="R161">
        <v>2023</v>
      </c>
      <c r="S161">
        <v>4</v>
      </c>
    </row>
    <row r="162" spans="1:19" x14ac:dyDescent="0.25">
      <c r="A162" t="s">
        <v>359</v>
      </c>
      <c r="B162" t="s">
        <v>360</v>
      </c>
      <c r="C162" t="s">
        <v>36</v>
      </c>
      <c r="D162" t="s">
        <v>18</v>
      </c>
      <c r="E162" t="s">
        <v>75</v>
      </c>
      <c r="F162" t="s">
        <v>31</v>
      </c>
      <c r="G162" s="11">
        <v>45452</v>
      </c>
      <c r="H162" s="12">
        <v>45272</v>
      </c>
      <c r="I162" t="s">
        <v>21</v>
      </c>
      <c r="J162" t="s">
        <v>22</v>
      </c>
      <c r="K162" t="s">
        <v>32</v>
      </c>
      <c r="L162" t="s">
        <v>69</v>
      </c>
      <c r="M162" t="s">
        <v>40</v>
      </c>
      <c r="N162" t="s">
        <v>26</v>
      </c>
      <c r="O162">
        <v>5000</v>
      </c>
      <c r="P162" t="s">
        <v>18</v>
      </c>
      <c r="Q162" t="s">
        <v>883</v>
      </c>
      <c r="R162">
        <v>2023</v>
      </c>
      <c r="S162">
        <v>4</v>
      </c>
    </row>
    <row r="163" spans="1:19" x14ac:dyDescent="0.25">
      <c r="A163" t="s">
        <v>361</v>
      </c>
      <c r="B163" t="s">
        <v>362</v>
      </c>
      <c r="C163" t="s">
        <v>44</v>
      </c>
      <c r="D163" t="s">
        <v>18</v>
      </c>
      <c r="E163" t="s">
        <v>75</v>
      </c>
      <c r="F163" t="s">
        <v>31</v>
      </c>
      <c r="G163" s="11">
        <v>45453</v>
      </c>
      <c r="H163" s="12">
        <v>45273</v>
      </c>
      <c r="I163" t="s">
        <v>21</v>
      </c>
      <c r="J163" t="s">
        <v>22</v>
      </c>
      <c r="K163" t="s">
        <v>23</v>
      </c>
      <c r="L163" t="s">
        <v>69</v>
      </c>
      <c r="M163" t="s">
        <v>40</v>
      </c>
      <c r="N163" t="s">
        <v>26</v>
      </c>
      <c r="O163">
        <v>5000</v>
      </c>
      <c r="P163" t="s">
        <v>18</v>
      </c>
      <c r="Q163" t="s">
        <v>883</v>
      </c>
      <c r="R163">
        <v>2023</v>
      </c>
      <c r="S163">
        <v>4</v>
      </c>
    </row>
    <row r="164" spans="1:19" x14ac:dyDescent="0.25">
      <c r="A164" t="s">
        <v>363</v>
      </c>
      <c r="B164" t="s">
        <v>364</v>
      </c>
      <c r="C164" t="s">
        <v>36</v>
      </c>
      <c r="D164" t="s">
        <v>18</v>
      </c>
      <c r="E164" t="s">
        <v>75</v>
      </c>
      <c r="F164" t="s">
        <v>31</v>
      </c>
      <c r="G164" s="11">
        <v>45453</v>
      </c>
      <c r="H164" s="12">
        <v>45273</v>
      </c>
      <c r="I164" t="s">
        <v>21</v>
      </c>
      <c r="J164" t="s">
        <v>22</v>
      </c>
      <c r="K164" t="s">
        <v>23</v>
      </c>
      <c r="L164" t="s">
        <v>24</v>
      </c>
      <c r="M164" t="s">
        <v>25</v>
      </c>
      <c r="N164" t="s">
        <v>26</v>
      </c>
      <c r="O164">
        <v>5000</v>
      </c>
      <c r="P164" t="s">
        <v>18</v>
      </c>
      <c r="Q164" t="s">
        <v>883</v>
      </c>
      <c r="R164">
        <v>2023</v>
      </c>
      <c r="S164">
        <v>4</v>
      </c>
    </row>
    <row r="165" spans="1:19" x14ac:dyDescent="0.25">
      <c r="A165" t="s">
        <v>365</v>
      </c>
      <c r="B165" t="s">
        <v>366</v>
      </c>
      <c r="C165" t="s">
        <v>17</v>
      </c>
      <c r="D165" t="s">
        <v>18</v>
      </c>
      <c r="E165" t="s">
        <v>75</v>
      </c>
      <c r="F165" t="s">
        <v>31</v>
      </c>
      <c r="G165" s="11">
        <v>45453</v>
      </c>
      <c r="H165" s="12">
        <v>45273</v>
      </c>
      <c r="I165" t="s">
        <v>21</v>
      </c>
      <c r="J165" t="s">
        <v>22</v>
      </c>
      <c r="K165" t="s">
        <v>23</v>
      </c>
      <c r="L165" t="s">
        <v>225</v>
      </c>
      <c r="M165" t="s">
        <v>47</v>
      </c>
      <c r="N165" t="s">
        <v>26</v>
      </c>
      <c r="O165">
        <v>5000</v>
      </c>
      <c r="P165" t="s">
        <v>18</v>
      </c>
      <c r="Q165" t="s">
        <v>883</v>
      </c>
      <c r="R165">
        <v>2023</v>
      </c>
      <c r="S165">
        <v>4</v>
      </c>
    </row>
    <row r="166" spans="1:19" x14ac:dyDescent="0.25">
      <c r="A166" t="s">
        <v>367</v>
      </c>
      <c r="B166" t="s">
        <v>209</v>
      </c>
      <c r="C166" t="s">
        <v>17</v>
      </c>
      <c r="D166" t="s">
        <v>18</v>
      </c>
      <c r="E166" t="s">
        <v>75</v>
      </c>
      <c r="F166" t="s">
        <v>31</v>
      </c>
      <c r="G166" s="11">
        <v>45453</v>
      </c>
      <c r="H166" s="12">
        <v>45273</v>
      </c>
      <c r="I166" t="s">
        <v>21</v>
      </c>
      <c r="J166" t="s">
        <v>22</v>
      </c>
      <c r="K166" t="s">
        <v>38</v>
      </c>
      <c r="L166" t="s">
        <v>282</v>
      </c>
      <c r="M166" t="s">
        <v>283</v>
      </c>
      <c r="N166" t="s">
        <v>26</v>
      </c>
      <c r="O166">
        <v>5000</v>
      </c>
      <c r="P166" t="s">
        <v>18</v>
      </c>
      <c r="Q166" t="s">
        <v>883</v>
      </c>
      <c r="R166">
        <v>2023</v>
      </c>
      <c r="S166">
        <v>4</v>
      </c>
    </row>
    <row r="167" spans="1:19" x14ac:dyDescent="0.25">
      <c r="A167" t="s">
        <v>368</v>
      </c>
      <c r="B167" t="s">
        <v>369</v>
      </c>
      <c r="C167" t="s">
        <v>17</v>
      </c>
      <c r="D167" t="s">
        <v>18</v>
      </c>
      <c r="E167" t="s">
        <v>75</v>
      </c>
      <c r="F167" t="s">
        <v>31</v>
      </c>
      <c r="G167" s="11">
        <v>45453</v>
      </c>
      <c r="H167" s="12">
        <v>45273</v>
      </c>
      <c r="I167" t="s">
        <v>21</v>
      </c>
      <c r="J167" t="s">
        <v>22</v>
      </c>
      <c r="K167" t="s">
        <v>115</v>
      </c>
      <c r="L167" t="s">
        <v>24</v>
      </c>
      <c r="M167" t="s">
        <v>25</v>
      </c>
      <c r="N167" t="s">
        <v>26</v>
      </c>
      <c r="O167">
        <v>5000</v>
      </c>
      <c r="P167" t="s">
        <v>18</v>
      </c>
      <c r="Q167" t="s">
        <v>883</v>
      </c>
      <c r="R167">
        <v>2023</v>
      </c>
      <c r="S167">
        <v>4</v>
      </c>
    </row>
    <row r="168" spans="1:19" x14ac:dyDescent="0.25">
      <c r="A168" t="s">
        <v>370</v>
      </c>
      <c r="B168" t="s">
        <v>371</v>
      </c>
      <c r="C168" t="s">
        <v>36</v>
      </c>
      <c r="D168" t="s">
        <v>18</v>
      </c>
      <c r="E168" t="s">
        <v>75</v>
      </c>
      <c r="F168" t="s">
        <v>31</v>
      </c>
      <c r="G168" s="11">
        <v>45453</v>
      </c>
      <c r="H168" s="12">
        <v>45273</v>
      </c>
      <c r="I168" t="s">
        <v>21</v>
      </c>
      <c r="J168" t="s">
        <v>37</v>
      </c>
      <c r="K168" t="s">
        <v>148</v>
      </c>
      <c r="L168" t="s">
        <v>24</v>
      </c>
      <c r="M168" t="s">
        <v>25</v>
      </c>
      <c r="N168" t="s">
        <v>26</v>
      </c>
      <c r="O168">
        <v>5000</v>
      </c>
      <c r="P168" t="s">
        <v>18</v>
      </c>
      <c r="Q168" t="s">
        <v>883</v>
      </c>
      <c r="R168">
        <v>2023</v>
      </c>
      <c r="S168">
        <v>4</v>
      </c>
    </row>
    <row r="169" spans="1:19" x14ac:dyDescent="0.25">
      <c r="A169" t="s">
        <v>372</v>
      </c>
      <c r="B169" t="s">
        <v>373</v>
      </c>
      <c r="C169" t="s">
        <v>36</v>
      </c>
      <c r="D169" t="s">
        <v>18</v>
      </c>
      <c r="E169" t="s">
        <v>75</v>
      </c>
      <c r="F169" t="s">
        <v>31</v>
      </c>
      <c r="G169" s="11">
        <v>45453</v>
      </c>
      <c r="H169" s="12">
        <v>45273</v>
      </c>
      <c r="I169" t="s">
        <v>81</v>
      </c>
      <c r="J169" t="s">
        <v>37</v>
      </c>
      <c r="K169" t="s">
        <v>141</v>
      </c>
      <c r="L169" t="s">
        <v>24</v>
      </c>
      <c r="M169" t="s">
        <v>25</v>
      </c>
      <c r="N169" t="s">
        <v>26</v>
      </c>
      <c r="O169">
        <v>5000</v>
      </c>
      <c r="P169" t="s">
        <v>18</v>
      </c>
      <c r="Q169" t="s">
        <v>883</v>
      </c>
      <c r="R169">
        <v>2023</v>
      </c>
      <c r="S169">
        <v>4</v>
      </c>
    </row>
    <row r="170" spans="1:19" x14ac:dyDescent="0.25">
      <c r="A170" t="s">
        <v>374</v>
      </c>
      <c r="B170" t="s">
        <v>375</v>
      </c>
      <c r="C170" t="s">
        <v>17</v>
      </c>
      <c r="D170" t="s">
        <v>18</v>
      </c>
      <c r="E170" t="s">
        <v>75</v>
      </c>
      <c r="F170" t="s">
        <v>31</v>
      </c>
      <c r="G170" s="11">
        <v>45453</v>
      </c>
      <c r="H170" s="12">
        <v>45273</v>
      </c>
      <c r="I170" t="s">
        <v>81</v>
      </c>
      <c r="J170" t="s">
        <v>22</v>
      </c>
      <c r="K170" t="s">
        <v>32</v>
      </c>
      <c r="L170" t="s">
        <v>225</v>
      </c>
      <c r="M170" t="s">
        <v>47</v>
      </c>
      <c r="N170" t="s">
        <v>26</v>
      </c>
      <c r="O170">
        <v>5000</v>
      </c>
      <c r="P170" t="s">
        <v>18</v>
      </c>
      <c r="Q170" t="s">
        <v>883</v>
      </c>
      <c r="R170">
        <v>2023</v>
      </c>
      <c r="S170">
        <v>4</v>
      </c>
    </row>
    <row r="171" spans="1:19" x14ac:dyDescent="0.25">
      <c r="A171" t="s">
        <v>376</v>
      </c>
      <c r="B171" t="s">
        <v>377</v>
      </c>
      <c r="C171" t="s">
        <v>17</v>
      </c>
      <c r="D171" t="s">
        <v>18</v>
      </c>
      <c r="E171" t="s">
        <v>75</v>
      </c>
      <c r="F171" t="s">
        <v>31</v>
      </c>
      <c r="G171" s="11">
        <v>45453</v>
      </c>
      <c r="H171" s="12">
        <v>45273</v>
      </c>
      <c r="I171" t="s">
        <v>81</v>
      </c>
      <c r="J171" t="s">
        <v>22</v>
      </c>
      <c r="K171" t="s">
        <v>32</v>
      </c>
      <c r="L171" t="s">
        <v>96</v>
      </c>
      <c r="M171" t="s">
        <v>47</v>
      </c>
      <c r="N171" t="s">
        <v>26</v>
      </c>
      <c r="O171">
        <v>5000</v>
      </c>
      <c r="P171" t="s">
        <v>18</v>
      </c>
      <c r="Q171" t="s">
        <v>883</v>
      </c>
      <c r="R171">
        <v>2023</v>
      </c>
      <c r="S171">
        <v>4</v>
      </c>
    </row>
    <row r="172" spans="1:19" x14ac:dyDescent="0.25">
      <c r="A172" t="s">
        <v>378</v>
      </c>
      <c r="B172" t="s">
        <v>379</v>
      </c>
      <c r="C172" t="s">
        <v>44</v>
      </c>
      <c r="D172" t="s">
        <v>18</v>
      </c>
      <c r="E172" t="s">
        <v>75</v>
      </c>
      <c r="F172" t="s">
        <v>31</v>
      </c>
      <c r="G172" s="11">
        <v>45453</v>
      </c>
      <c r="H172" s="12">
        <v>45273</v>
      </c>
      <c r="I172" t="s">
        <v>81</v>
      </c>
      <c r="J172" t="s">
        <v>22</v>
      </c>
      <c r="K172" t="s">
        <v>38</v>
      </c>
      <c r="L172" t="s">
        <v>220</v>
      </c>
      <c r="M172" t="s">
        <v>25</v>
      </c>
      <c r="N172" t="s">
        <v>26</v>
      </c>
      <c r="O172">
        <v>5000</v>
      </c>
      <c r="P172" t="s">
        <v>18</v>
      </c>
      <c r="Q172" t="s">
        <v>883</v>
      </c>
      <c r="R172">
        <v>2023</v>
      </c>
      <c r="S172">
        <v>4</v>
      </c>
    </row>
    <row r="173" spans="1:19" x14ac:dyDescent="0.25">
      <c r="A173" t="s">
        <v>380</v>
      </c>
      <c r="B173" t="s">
        <v>381</v>
      </c>
      <c r="C173" t="s">
        <v>36</v>
      </c>
      <c r="D173" t="s">
        <v>18</v>
      </c>
      <c r="E173" t="s">
        <v>75</v>
      </c>
      <c r="F173" t="s">
        <v>31</v>
      </c>
      <c r="G173" s="11">
        <v>45453</v>
      </c>
      <c r="H173" s="12">
        <v>45273</v>
      </c>
      <c r="I173" t="s">
        <v>81</v>
      </c>
      <c r="J173" t="s">
        <v>22</v>
      </c>
      <c r="K173" t="s">
        <v>38</v>
      </c>
      <c r="L173" t="s">
        <v>96</v>
      </c>
      <c r="M173" t="s">
        <v>47</v>
      </c>
      <c r="N173" t="s">
        <v>26</v>
      </c>
      <c r="O173">
        <v>5000</v>
      </c>
      <c r="P173" t="s">
        <v>18</v>
      </c>
      <c r="Q173" t="s">
        <v>883</v>
      </c>
      <c r="R173">
        <v>2023</v>
      </c>
      <c r="S173">
        <v>4</v>
      </c>
    </row>
    <row r="174" spans="1:19" x14ac:dyDescent="0.25">
      <c r="A174" t="s">
        <v>382</v>
      </c>
      <c r="B174" t="s">
        <v>383</v>
      </c>
      <c r="C174" t="s">
        <v>36</v>
      </c>
      <c r="D174" t="s">
        <v>18</v>
      </c>
      <c r="E174" t="s">
        <v>75</v>
      </c>
      <c r="F174" t="s">
        <v>31</v>
      </c>
      <c r="G174" s="11">
        <v>45453</v>
      </c>
      <c r="H174" s="12">
        <v>45273</v>
      </c>
      <c r="I174" t="s">
        <v>81</v>
      </c>
      <c r="J174" t="s">
        <v>22</v>
      </c>
      <c r="K174" t="s">
        <v>38</v>
      </c>
      <c r="L174" t="s">
        <v>220</v>
      </c>
      <c r="M174" t="s">
        <v>25</v>
      </c>
      <c r="N174" t="s">
        <v>26</v>
      </c>
      <c r="O174">
        <v>5000</v>
      </c>
      <c r="P174" t="s">
        <v>18</v>
      </c>
      <c r="Q174" t="s">
        <v>883</v>
      </c>
      <c r="R174">
        <v>2023</v>
      </c>
      <c r="S174">
        <v>4</v>
      </c>
    </row>
    <row r="175" spans="1:19" x14ac:dyDescent="0.25">
      <c r="A175" t="s">
        <v>384</v>
      </c>
      <c r="B175" t="s">
        <v>385</v>
      </c>
      <c r="C175" t="s">
        <v>205</v>
      </c>
      <c r="D175" t="s">
        <v>18</v>
      </c>
      <c r="E175" t="s">
        <v>75</v>
      </c>
      <c r="F175" t="s">
        <v>31</v>
      </c>
      <c r="G175" s="11">
        <v>45453</v>
      </c>
      <c r="H175" s="12">
        <v>45273</v>
      </c>
      <c r="I175" t="s">
        <v>21</v>
      </c>
      <c r="J175" t="s">
        <v>22</v>
      </c>
      <c r="K175" t="s">
        <v>38</v>
      </c>
      <c r="L175" t="s">
        <v>24</v>
      </c>
      <c r="M175" t="s">
        <v>25</v>
      </c>
      <c r="N175" t="s">
        <v>26</v>
      </c>
      <c r="O175">
        <v>5000</v>
      </c>
      <c r="P175" t="s">
        <v>18</v>
      </c>
      <c r="Q175" t="s">
        <v>883</v>
      </c>
      <c r="R175">
        <v>2023</v>
      </c>
      <c r="S175">
        <v>4</v>
      </c>
    </row>
    <row r="176" spans="1:19" x14ac:dyDescent="0.25">
      <c r="A176" t="s">
        <v>386</v>
      </c>
      <c r="B176" t="s">
        <v>387</v>
      </c>
      <c r="C176" t="s">
        <v>17</v>
      </c>
      <c r="D176" t="s">
        <v>18</v>
      </c>
      <c r="E176" t="s">
        <v>75</v>
      </c>
      <c r="F176" t="s">
        <v>31</v>
      </c>
      <c r="G176" s="11">
        <v>45453</v>
      </c>
      <c r="H176" s="12">
        <v>45273</v>
      </c>
      <c r="I176" t="s">
        <v>21</v>
      </c>
      <c r="J176" t="s">
        <v>22</v>
      </c>
      <c r="K176" t="s">
        <v>32</v>
      </c>
      <c r="L176" t="s">
        <v>96</v>
      </c>
      <c r="M176" t="s">
        <v>47</v>
      </c>
      <c r="N176" t="s">
        <v>26</v>
      </c>
      <c r="O176">
        <v>5000</v>
      </c>
      <c r="P176" t="s">
        <v>18</v>
      </c>
      <c r="Q176" t="s">
        <v>883</v>
      </c>
      <c r="R176">
        <v>2023</v>
      </c>
      <c r="S176">
        <v>4</v>
      </c>
    </row>
    <row r="177" spans="1:19" x14ac:dyDescent="0.25">
      <c r="A177" t="s">
        <v>388</v>
      </c>
      <c r="B177" t="s">
        <v>389</v>
      </c>
      <c r="C177" t="s">
        <v>36</v>
      </c>
      <c r="D177" t="s">
        <v>18</v>
      </c>
      <c r="E177" t="s">
        <v>75</v>
      </c>
      <c r="F177" t="s">
        <v>31</v>
      </c>
      <c r="G177" s="11">
        <v>45453</v>
      </c>
      <c r="H177" s="12">
        <v>45273</v>
      </c>
      <c r="I177" t="s">
        <v>81</v>
      </c>
      <c r="J177" t="s">
        <v>37</v>
      </c>
      <c r="K177" t="s">
        <v>23</v>
      </c>
      <c r="L177" t="s">
        <v>24</v>
      </c>
      <c r="M177" t="s">
        <v>25</v>
      </c>
      <c r="N177" t="s">
        <v>26</v>
      </c>
      <c r="O177">
        <v>5000</v>
      </c>
      <c r="P177" t="s">
        <v>18</v>
      </c>
      <c r="Q177" t="s">
        <v>883</v>
      </c>
      <c r="R177">
        <v>2023</v>
      </c>
      <c r="S177">
        <v>4</v>
      </c>
    </row>
    <row r="178" spans="1:19" x14ac:dyDescent="0.25">
      <c r="A178" t="s">
        <v>390</v>
      </c>
      <c r="B178" t="s">
        <v>391</v>
      </c>
      <c r="C178" t="s">
        <v>36</v>
      </c>
      <c r="D178" t="s">
        <v>18</v>
      </c>
      <c r="E178" t="s">
        <v>75</v>
      </c>
      <c r="F178" t="s">
        <v>31</v>
      </c>
      <c r="G178" s="11">
        <v>45453</v>
      </c>
      <c r="H178" s="12">
        <v>45273</v>
      </c>
      <c r="I178" t="s">
        <v>81</v>
      </c>
      <c r="J178" t="s">
        <v>22</v>
      </c>
      <c r="K178" t="s">
        <v>23</v>
      </c>
      <c r="L178" t="s">
        <v>119</v>
      </c>
      <c r="M178" t="s">
        <v>25</v>
      </c>
      <c r="N178" t="s">
        <v>26</v>
      </c>
      <c r="O178">
        <v>5000</v>
      </c>
      <c r="P178" t="s">
        <v>18</v>
      </c>
      <c r="Q178" t="s">
        <v>883</v>
      </c>
      <c r="R178">
        <v>2023</v>
      </c>
      <c r="S178">
        <v>4</v>
      </c>
    </row>
    <row r="179" spans="1:19" x14ac:dyDescent="0.25">
      <c r="A179" t="s">
        <v>392</v>
      </c>
      <c r="B179" t="s">
        <v>393</v>
      </c>
      <c r="C179" t="s">
        <v>44</v>
      </c>
      <c r="D179" t="s">
        <v>18</v>
      </c>
      <c r="E179" t="s">
        <v>75</v>
      </c>
      <c r="F179" t="s">
        <v>31</v>
      </c>
      <c r="G179" s="11">
        <v>45454</v>
      </c>
      <c r="H179" s="12">
        <v>45274</v>
      </c>
      <c r="I179" t="s">
        <v>81</v>
      </c>
      <c r="J179" t="s">
        <v>37</v>
      </c>
      <c r="K179" t="s">
        <v>115</v>
      </c>
      <c r="L179" t="s">
        <v>191</v>
      </c>
      <c r="M179" t="s">
        <v>40</v>
      </c>
      <c r="N179" t="s">
        <v>26</v>
      </c>
      <c r="O179">
        <v>5000</v>
      </c>
      <c r="P179" t="s">
        <v>18</v>
      </c>
      <c r="Q179" t="s">
        <v>883</v>
      </c>
      <c r="R179">
        <v>2023</v>
      </c>
      <c r="S179">
        <v>4</v>
      </c>
    </row>
    <row r="180" spans="1:19" x14ac:dyDescent="0.25">
      <c r="A180" t="s">
        <v>394</v>
      </c>
      <c r="B180" t="s">
        <v>395</v>
      </c>
      <c r="C180" t="s">
        <v>44</v>
      </c>
      <c r="D180" t="s">
        <v>18</v>
      </c>
      <c r="E180" t="s">
        <v>75</v>
      </c>
      <c r="F180" t="s">
        <v>31</v>
      </c>
      <c r="G180" s="11">
        <v>45454</v>
      </c>
      <c r="H180" s="12">
        <v>45274</v>
      </c>
      <c r="I180" t="s">
        <v>21</v>
      </c>
      <c r="J180" t="s">
        <v>22</v>
      </c>
      <c r="K180" t="s">
        <v>23</v>
      </c>
      <c r="L180" t="s">
        <v>96</v>
      </c>
      <c r="M180" t="s">
        <v>47</v>
      </c>
      <c r="N180" t="s">
        <v>26</v>
      </c>
      <c r="O180">
        <v>5000</v>
      </c>
      <c r="P180" t="s">
        <v>18</v>
      </c>
      <c r="Q180" t="s">
        <v>883</v>
      </c>
      <c r="R180">
        <v>2023</v>
      </c>
      <c r="S180">
        <v>4</v>
      </c>
    </row>
    <row r="181" spans="1:19" x14ac:dyDescent="0.25">
      <c r="A181" t="s">
        <v>396</v>
      </c>
      <c r="B181" t="s">
        <v>397</v>
      </c>
      <c r="C181" t="s">
        <v>17</v>
      </c>
      <c r="D181" t="s">
        <v>18</v>
      </c>
      <c r="E181" t="s">
        <v>75</v>
      </c>
      <c r="F181" t="s">
        <v>31</v>
      </c>
      <c r="G181" s="11">
        <v>45454</v>
      </c>
      <c r="H181" s="12">
        <v>45274</v>
      </c>
      <c r="I181" t="s">
        <v>21</v>
      </c>
      <c r="J181" t="s">
        <v>22</v>
      </c>
      <c r="K181" t="s">
        <v>23</v>
      </c>
      <c r="L181" t="s">
        <v>220</v>
      </c>
      <c r="M181" t="s">
        <v>25</v>
      </c>
      <c r="N181" t="s">
        <v>26</v>
      </c>
      <c r="O181">
        <v>5000</v>
      </c>
      <c r="P181" t="s">
        <v>18</v>
      </c>
      <c r="Q181" t="s">
        <v>883</v>
      </c>
      <c r="R181">
        <v>2023</v>
      </c>
      <c r="S181">
        <v>4</v>
      </c>
    </row>
    <row r="182" spans="1:19" x14ac:dyDescent="0.25">
      <c r="A182" t="s">
        <v>398</v>
      </c>
      <c r="B182" t="s">
        <v>399</v>
      </c>
      <c r="C182" t="s">
        <v>17</v>
      </c>
      <c r="D182" t="s">
        <v>18</v>
      </c>
      <c r="E182" t="s">
        <v>75</v>
      </c>
      <c r="F182" t="s">
        <v>31</v>
      </c>
      <c r="G182" s="11">
        <v>45454</v>
      </c>
      <c r="H182" s="12">
        <v>45274</v>
      </c>
      <c r="I182" t="s">
        <v>21</v>
      </c>
      <c r="J182" t="s">
        <v>22</v>
      </c>
      <c r="K182" t="s">
        <v>32</v>
      </c>
      <c r="L182" t="s">
        <v>24</v>
      </c>
      <c r="M182" t="s">
        <v>25</v>
      </c>
      <c r="N182" t="s">
        <v>26</v>
      </c>
      <c r="O182">
        <v>5000</v>
      </c>
      <c r="P182" t="s">
        <v>18</v>
      </c>
      <c r="Q182" t="s">
        <v>883</v>
      </c>
      <c r="R182">
        <v>2023</v>
      </c>
      <c r="S182">
        <v>4</v>
      </c>
    </row>
    <row r="183" spans="1:19" x14ac:dyDescent="0.25">
      <c r="A183" t="s">
        <v>400</v>
      </c>
      <c r="B183" t="s">
        <v>401</v>
      </c>
      <c r="C183" t="s">
        <v>36</v>
      </c>
      <c r="D183" t="s">
        <v>199</v>
      </c>
      <c r="E183" t="s">
        <v>75</v>
      </c>
      <c r="F183" t="s">
        <v>31</v>
      </c>
      <c r="G183" s="11">
        <v>45454</v>
      </c>
      <c r="H183" s="12">
        <v>45274</v>
      </c>
      <c r="I183" t="s">
        <v>21</v>
      </c>
      <c r="J183" t="s">
        <v>22</v>
      </c>
      <c r="K183" t="s">
        <v>32</v>
      </c>
      <c r="L183" t="s">
        <v>24</v>
      </c>
      <c r="M183" t="s">
        <v>25</v>
      </c>
      <c r="N183" t="s">
        <v>26</v>
      </c>
      <c r="O183">
        <v>5000</v>
      </c>
      <c r="P183" t="s">
        <v>872</v>
      </c>
      <c r="Q183" t="s">
        <v>883</v>
      </c>
      <c r="R183">
        <v>2023</v>
      </c>
      <c r="S183">
        <v>4</v>
      </c>
    </row>
    <row r="184" spans="1:19" x14ac:dyDescent="0.25">
      <c r="A184" t="s">
        <v>402</v>
      </c>
      <c r="B184" t="s">
        <v>403</v>
      </c>
      <c r="C184" t="s">
        <v>36</v>
      </c>
      <c r="D184" t="s">
        <v>18</v>
      </c>
      <c r="E184" t="s">
        <v>75</v>
      </c>
      <c r="F184" t="s">
        <v>31</v>
      </c>
      <c r="G184" s="11">
        <v>45454</v>
      </c>
      <c r="H184" s="12">
        <v>45274</v>
      </c>
      <c r="I184" t="s">
        <v>21</v>
      </c>
      <c r="J184" t="s">
        <v>22</v>
      </c>
      <c r="K184" t="s">
        <v>23</v>
      </c>
      <c r="L184" t="s">
        <v>24</v>
      </c>
      <c r="M184" t="s">
        <v>25</v>
      </c>
      <c r="N184" t="s">
        <v>26</v>
      </c>
      <c r="O184">
        <v>5000</v>
      </c>
      <c r="P184" t="s">
        <v>18</v>
      </c>
      <c r="Q184" t="s">
        <v>883</v>
      </c>
      <c r="R184">
        <v>2023</v>
      </c>
      <c r="S184">
        <v>4</v>
      </c>
    </row>
    <row r="185" spans="1:19" x14ac:dyDescent="0.25">
      <c r="A185" t="s">
        <v>404</v>
      </c>
      <c r="B185" t="s">
        <v>405</v>
      </c>
      <c r="C185" t="s">
        <v>205</v>
      </c>
      <c r="D185" t="s">
        <v>169</v>
      </c>
      <c r="E185" t="s">
        <v>30</v>
      </c>
      <c r="F185" t="s">
        <v>31</v>
      </c>
      <c r="G185" s="11">
        <v>45457</v>
      </c>
      <c r="H185" s="12">
        <v>45277</v>
      </c>
      <c r="I185" t="s">
        <v>21</v>
      </c>
      <c r="J185" t="s">
        <v>37</v>
      </c>
      <c r="K185" t="s">
        <v>32</v>
      </c>
      <c r="L185" t="s">
        <v>24</v>
      </c>
      <c r="M185" t="s">
        <v>25</v>
      </c>
      <c r="N185" t="s">
        <v>26</v>
      </c>
      <c r="O185">
        <v>5000</v>
      </c>
      <c r="P185" t="s">
        <v>872</v>
      </c>
      <c r="Q185" t="s">
        <v>883</v>
      </c>
      <c r="R185">
        <v>2023</v>
      </c>
      <c r="S185">
        <v>4</v>
      </c>
    </row>
    <row r="186" spans="1:19" x14ac:dyDescent="0.25">
      <c r="A186" t="s">
        <v>406</v>
      </c>
      <c r="B186" t="s">
        <v>407</v>
      </c>
      <c r="C186" t="s">
        <v>36</v>
      </c>
      <c r="D186" t="s">
        <v>18</v>
      </c>
      <c r="E186" t="s">
        <v>75</v>
      </c>
      <c r="F186" t="s">
        <v>31</v>
      </c>
      <c r="G186" s="11">
        <v>45457</v>
      </c>
      <c r="H186" s="12">
        <v>45277</v>
      </c>
      <c r="I186" t="s">
        <v>81</v>
      </c>
      <c r="J186" t="s">
        <v>22</v>
      </c>
      <c r="K186" t="s">
        <v>32</v>
      </c>
      <c r="L186" t="s">
        <v>24</v>
      </c>
      <c r="M186" t="s">
        <v>25</v>
      </c>
      <c r="N186" t="s">
        <v>26</v>
      </c>
      <c r="O186">
        <v>5000</v>
      </c>
      <c r="P186" t="s">
        <v>18</v>
      </c>
      <c r="Q186" t="s">
        <v>883</v>
      </c>
      <c r="R186">
        <v>2023</v>
      </c>
      <c r="S186">
        <v>4</v>
      </c>
    </row>
    <row r="187" spans="1:19" x14ac:dyDescent="0.25">
      <c r="A187" t="s">
        <v>408</v>
      </c>
      <c r="B187" t="s">
        <v>409</v>
      </c>
      <c r="C187" t="s">
        <v>44</v>
      </c>
      <c r="D187" t="s">
        <v>18</v>
      </c>
      <c r="E187" t="s">
        <v>75</v>
      </c>
      <c r="F187" t="s">
        <v>31</v>
      </c>
      <c r="G187" s="11">
        <v>45457</v>
      </c>
      <c r="H187" s="12">
        <v>45277</v>
      </c>
      <c r="I187" t="s">
        <v>81</v>
      </c>
      <c r="J187" t="s">
        <v>22</v>
      </c>
      <c r="K187" t="s">
        <v>32</v>
      </c>
      <c r="L187" t="s">
        <v>24</v>
      </c>
      <c r="M187" t="s">
        <v>25</v>
      </c>
      <c r="N187" t="s">
        <v>26</v>
      </c>
      <c r="O187">
        <v>5000</v>
      </c>
      <c r="P187" t="s">
        <v>18</v>
      </c>
      <c r="Q187" t="s">
        <v>883</v>
      </c>
      <c r="R187">
        <v>2023</v>
      </c>
      <c r="S187">
        <v>4</v>
      </c>
    </row>
    <row r="188" spans="1:19" x14ac:dyDescent="0.25">
      <c r="A188" t="s">
        <v>410</v>
      </c>
      <c r="B188" t="s">
        <v>411</v>
      </c>
      <c r="C188" t="s">
        <v>36</v>
      </c>
      <c r="D188" t="s">
        <v>18</v>
      </c>
      <c r="E188" t="s">
        <v>75</v>
      </c>
      <c r="F188" t="s">
        <v>31</v>
      </c>
      <c r="G188" s="11">
        <v>45457</v>
      </c>
      <c r="H188" s="12">
        <v>45277</v>
      </c>
      <c r="I188" t="s">
        <v>81</v>
      </c>
      <c r="J188" t="s">
        <v>22</v>
      </c>
      <c r="K188" t="s">
        <v>32</v>
      </c>
      <c r="L188" t="s">
        <v>24</v>
      </c>
      <c r="M188" t="s">
        <v>25</v>
      </c>
      <c r="N188" t="s">
        <v>26</v>
      </c>
      <c r="O188">
        <v>5000</v>
      </c>
      <c r="P188" t="s">
        <v>18</v>
      </c>
      <c r="Q188" t="s">
        <v>883</v>
      </c>
      <c r="R188">
        <v>2023</v>
      </c>
      <c r="S188">
        <v>4</v>
      </c>
    </row>
    <row r="189" spans="1:19" x14ac:dyDescent="0.25">
      <c r="A189" t="s">
        <v>412</v>
      </c>
      <c r="B189" t="s">
        <v>314</v>
      </c>
      <c r="C189" t="s">
        <v>44</v>
      </c>
      <c r="D189" t="s">
        <v>18</v>
      </c>
      <c r="E189" t="s">
        <v>75</v>
      </c>
      <c r="F189" t="s">
        <v>31</v>
      </c>
      <c r="G189" s="11">
        <v>45457</v>
      </c>
      <c r="H189" s="12">
        <v>45277</v>
      </c>
      <c r="I189" t="s">
        <v>21</v>
      </c>
      <c r="J189" t="s">
        <v>22</v>
      </c>
      <c r="K189" t="s">
        <v>38</v>
      </c>
      <c r="L189" t="s">
        <v>220</v>
      </c>
      <c r="M189" t="s">
        <v>25</v>
      </c>
      <c r="N189" t="s">
        <v>26</v>
      </c>
      <c r="O189">
        <v>5000</v>
      </c>
      <c r="P189" t="s">
        <v>18</v>
      </c>
      <c r="Q189" t="s">
        <v>883</v>
      </c>
      <c r="R189">
        <v>2023</v>
      </c>
      <c r="S189">
        <v>4</v>
      </c>
    </row>
    <row r="190" spans="1:19" x14ac:dyDescent="0.25">
      <c r="A190" t="s">
        <v>413</v>
      </c>
      <c r="B190" t="s">
        <v>414</v>
      </c>
      <c r="C190" t="s">
        <v>44</v>
      </c>
      <c r="D190" t="s">
        <v>202</v>
      </c>
      <c r="E190" t="s">
        <v>75</v>
      </c>
      <c r="F190" t="s">
        <v>31</v>
      </c>
      <c r="G190" s="11">
        <v>45457</v>
      </c>
      <c r="H190" s="12">
        <v>45277</v>
      </c>
      <c r="I190" t="s">
        <v>21</v>
      </c>
      <c r="J190" t="s">
        <v>22</v>
      </c>
      <c r="K190" t="s">
        <v>38</v>
      </c>
      <c r="L190" t="s">
        <v>69</v>
      </c>
      <c r="M190" t="s">
        <v>40</v>
      </c>
      <c r="N190" t="s">
        <v>26</v>
      </c>
      <c r="O190">
        <v>5000</v>
      </c>
      <c r="P190" t="s">
        <v>872</v>
      </c>
      <c r="Q190" t="s">
        <v>883</v>
      </c>
      <c r="R190">
        <v>2023</v>
      </c>
      <c r="S190">
        <v>4</v>
      </c>
    </row>
    <row r="191" spans="1:19" x14ac:dyDescent="0.25">
      <c r="A191" t="s">
        <v>415</v>
      </c>
      <c r="B191" t="s">
        <v>416</v>
      </c>
      <c r="C191" t="s">
        <v>17</v>
      </c>
      <c r="D191" t="s">
        <v>18</v>
      </c>
      <c r="E191" t="s">
        <v>75</v>
      </c>
      <c r="F191" t="s">
        <v>31</v>
      </c>
      <c r="G191" s="11">
        <v>45457</v>
      </c>
      <c r="H191" s="12">
        <v>45277</v>
      </c>
      <c r="I191" t="s">
        <v>21</v>
      </c>
      <c r="J191" t="s">
        <v>22</v>
      </c>
      <c r="K191" t="s">
        <v>23</v>
      </c>
      <c r="L191" t="s">
        <v>24</v>
      </c>
      <c r="M191" t="s">
        <v>25</v>
      </c>
      <c r="N191" t="s">
        <v>26</v>
      </c>
      <c r="O191">
        <v>5000</v>
      </c>
      <c r="P191" t="s">
        <v>18</v>
      </c>
      <c r="Q191" t="s">
        <v>883</v>
      </c>
      <c r="R191">
        <v>2023</v>
      </c>
      <c r="S191">
        <v>4</v>
      </c>
    </row>
    <row r="192" spans="1:19" x14ac:dyDescent="0.25">
      <c r="A192" t="s">
        <v>417</v>
      </c>
      <c r="B192" t="s">
        <v>418</v>
      </c>
      <c r="C192" t="s">
        <v>17</v>
      </c>
      <c r="D192" t="s">
        <v>18</v>
      </c>
      <c r="E192" t="s">
        <v>75</v>
      </c>
      <c r="F192" t="s">
        <v>31</v>
      </c>
      <c r="G192" s="11">
        <v>45457</v>
      </c>
      <c r="H192" s="12">
        <v>45277</v>
      </c>
      <c r="I192" t="s">
        <v>21</v>
      </c>
      <c r="J192" t="s">
        <v>22</v>
      </c>
      <c r="K192" t="s">
        <v>23</v>
      </c>
      <c r="L192" t="s">
        <v>96</v>
      </c>
      <c r="M192" t="s">
        <v>47</v>
      </c>
      <c r="N192" t="s">
        <v>26</v>
      </c>
      <c r="O192">
        <v>5000</v>
      </c>
      <c r="P192" t="s">
        <v>18</v>
      </c>
      <c r="Q192" t="s">
        <v>883</v>
      </c>
      <c r="R192">
        <v>2023</v>
      </c>
      <c r="S192">
        <v>4</v>
      </c>
    </row>
    <row r="193" spans="1:19" x14ac:dyDescent="0.25">
      <c r="A193" t="s">
        <v>419</v>
      </c>
      <c r="B193" t="s">
        <v>420</v>
      </c>
      <c r="C193" t="s">
        <v>36</v>
      </c>
      <c r="D193" t="s">
        <v>18</v>
      </c>
      <c r="E193" t="s">
        <v>75</v>
      </c>
      <c r="F193" t="s">
        <v>31</v>
      </c>
      <c r="G193" s="11">
        <v>45457</v>
      </c>
      <c r="H193" s="12">
        <v>45277</v>
      </c>
      <c r="I193" t="s">
        <v>21</v>
      </c>
      <c r="J193" t="s">
        <v>22</v>
      </c>
      <c r="K193" t="s">
        <v>38</v>
      </c>
      <c r="L193" t="s">
        <v>24</v>
      </c>
      <c r="M193" t="s">
        <v>25</v>
      </c>
      <c r="N193" t="s">
        <v>26</v>
      </c>
      <c r="O193">
        <v>5000</v>
      </c>
      <c r="P193" t="s">
        <v>18</v>
      </c>
      <c r="Q193" t="s">
        <v>883</v>
      </c>
      <c r="R193">
        <v>2023</v>
      </c>
      <c r="S193">
        <v>4</v>
      </c>
    </row>
    <row r="194" spans="1:19" x14ac:dyDescent="0.25">
      <c r="A194" t="s">
        <v>421</v>
      </c>
      <c r="B194" t="s">
        <v>422</v>
      </c>
      <c r="C194" t="s">
        <v>36</v>
      </c>
      <c r="D194" t="s">
        <v>18</v>
      </c>
      <c r="E194" t="s">
        <v>75</v>
      </c>
      <c r="F194" t="s">
        <v>31</v>
      </c>
      <c r="G194" s="11">
        <v>45457</v>
      </c>
      <c r="H194" s="12">
        <v>45277</v>
      </c>
      <c r="I194" t="s">
        <v>21</v>
      </c>
      <c r="J194" t="s">
        <v>22</v>
      </c>
      <c r="K194" t="s">
        <v>38</v>
      </c>
      <c r="L194" t="s">
        <v>24</v>
      </c>
      <c r="M194" t="s">
        <v>25</v>
      </c>
      <c r="N194" t="s">
        <v>26</v>
      </c>
      <c r="O194">
        <v>5000</v>
      </c>
      <c r="P194" t="s">
        <v>18</v>
      </c>
      <c r="Q194" t="s">
        <v>883</v>
      </c>
      <c r="R194">
        <v>2023</v>
      </c>
      <c r="S194">
        <v>4</v>
      </c>
    </row>
    <row r="195" spans="1:19" x14ac:dyDescent="0.25">
      <c r="A195" t="s">
        <v>423</v>
      </c>
      <c r="B195" t="s">
        <v>424</v>
      </c>
      <c r="C195" t="s">
        <v>205</v>
      </c>
      <c r="D195" t="s">
        <v>202</v>
      </c>
      <c r="E195" t="s">
        <v>75</v>
      </c>
      <c r="F195" t="s">
        <v>31</v>
      </c>
      <c r="G195" s="11">
        <v>45457</v>
      </c>
      <c r="H195" s="12">
        <v>45277</v>
      </c>
      <c r="I195" t="s">
        <v>21</v>
      </c>
      <c r="J195" t="s">
        <v>22</v>
      </c>
      <c r="K195" t="s">
        <v>32</v>
      </c>
      <c r="L195" t="s">
        <v>24</v>
      </c>
      <c r="M195" t="s">
        <v>25</v>
      </c>
      <c r="N195" t="s">
        <v>26</v>
      </c>
      <c r="O195">
        <v>5000</v>
      </c>
      <c r="P195" t="s">
        <v>872</v>
      </c>
      <c r="Q195" t="s">
        <v>883</v>
      </c>
      <c r="R195">
        <v>2023</v>
      </c>
      <c r="S195">
        <v>4</v>
      </c>
    </row>
    <row r="196" spans="1:19" x14ac:dyDescent="0.25">
      <c r="A196" t="s">
        <v>425</v>
      </c>
      <c r="B196" t="s">
        <v>426</v>
      </c>
      <c r="C196" t="s">
        <v>36</v>
      </c>
      <c r="D196" t="s">
        <v>18</v>
      </c>
      <c r="E196" t="s">
        <v>75</v>
      </c>
      <c r="F196" t="s">
        <v>31</v>
      </c>
      <c r="G196" s="11">
        <v>45457</v>
      </c>
      <c r="H196" s="12">
        <v>45277</v>
      </c>
      <c r="I196" t="s">
        <v>81</v>
      </c>
      <c r="J196" t="s">
        <v>22</v>
      </c>
      <c r="K196" t="s">
        <v>38</v>
      </c>
      <c r="L196" t="s">
        <v>96</v>
      </c>
      <c r="M196" t="s">
        <v>47</v>
      </c>
      <c r="N196" t="s">
        <v>26</v>
      </c>
      <c r="O196">
        <v>5000</v>
      </c>
      <c r="P196" t="s">
        <v>18</v>
      </c>
      <c r="Q196" t="s">
        <v>883</v>
      </c>
      <c r="R196">
        <v>2023</v>
      </c>
      <c r="S196">
        <v>4</v>
      </c>
    </row>
    <row r="197" spans="1:19" x14ac:dyDescent="0.25">
      <c r="A197" t="s">
        <v>427</v>
      </c>
      <c r="B197" t="s">
        <v>428</v>
      </c>
      <c r="C197" t="s">
        <v>44</v>
      </c>
      <c r="D197" t="s">
        <v>18</v>
      </c>
      <c r="E197" t="s">
        <v>75</v>
      </c>
      <c r="F197" t="s">
        <v>31</v>
      </c>
      <c r="G197" s="11">
        <v>45457</v>
      </c>
      <c r="H197" s="12">
        <v>45277</v>
      </c>
      <c r="I197" t="s">
        <v>81</v>
      </c>
      <c r="J197" t="s">
        <v>22</v>
      </c>
      <c r="K197" t="s">
        <v>23</v>
      </c>
      <c r="L197" t="s">
        <v>69</v>
      </c>
      <c r="M197" t="s">
        <v>40</v>
      </c>
      <c r="N197" t="s">
        <v>26</v>
      </c>
      <c r="O197">
        <v>5000</v>
      </c>
      <c r="P197" t="s">
        <v>18</v>
      </c>
      <c r="Q197" t="s">
        <v>883</v>
      </c>
      <c r="R197">
        <v>2023</v>
      </c>
      <c r="S197">
        <v>4</v>
      </c>
    </row>
    <row r="198" spans="1:19" x14ac:dyDescent="0.25">
      <c r="A198" t="s">
        <v>429</v>
      </c>
      <c r="B198" t="s">
        <v>430</v>
      </c>
      <c r="C198" t="s">
        <v>36</v>
      </c>
      <c r="D198" t="s">
        <v>18</v>
      </c>
      <c r="E198" t="s">
        <v>75</v>
      </c>
      <c r="F198" t="s">
        <v>31</v>
      </c>
      <c r="G198" s="11">
        <v>45457</v>
      </c>
      <c r="H198" s="12">
        <v>45277</v>
      </c>
      <c r="I198" t="s">
        <v>81</v>
      </c>
      <c r="J198" t="s">
        <v>22</v>
      </c>
      <c r="K198" t="s">
        <v>32</v>
      </c>
      <c r="L198" t="s">
        <v>96</v>
      </c>
      <c r="M198" t="s">
        <v>47</v>
      </c>
      <c r="N198" t="s">
        <v>26</v>
      </c>
      <c r="O198">
        <v>5000</v>
      </c>
      <c r="P198" t="s">
        <v>18</v>
      </c>
      <c r="Q198" t="s">
        <v>883</v>
      </c>
      <c r="R198">
        <v>2023</v>
      </c>
      <c r="S198">
        <v>4</v>
      </c>
    </row>
    <row r="199" spans="1:19" x14ac:dyDescent="0.25">
      <c r="A199" t="s">
        <v>431</v>
      </c>
      <c r="B199" t="s">
        <v>432</v>
      </c>
      <c r="C199" t="s">
        <v>36</v>
      </c>
      <c r="D199" t="s">
        <v>18</v>
      </c>
      <c r="E199" t="s">
        <v>75</v>
      </c>
      <c r="F199" t="s">
        <v>31</v>
      </c>
      <c r="G199" s="11">
        <v>45457</v>
      </c>
      <c r="H199" s="12">
        <v>45277</v>
      </c>
      <c r="I199" t="s">
        <v>81</v>
      </c>
      <c r="J199" t="s">
        <v>22</v>
      </c>
      <c r="K199" t="s">
        <v>23</v>
      </c>
      <c r="L199" t="s">
        <v>24</v>
      </c>
      <c r="M199" t="s">
        <v>25</v>
      </c>
      <c r="N199" t="s">
        <v>26</v>
      </c>
      <c r="O199">
        <v>5000</v>
      </c>
      <c r="P199" t="s">
        <v>18</v>
      </c>
      <c r="Q199" t="s">
        <v>883</v>
      </c>
      <c r="R199">
        <v>2023</v>
      </c>
      <c r="S199">
        <v>4</v>
      </c>
    </row>
    <row r="200" spans="1:19" x14ac:dyDescent="0.25">
      <c r="A200" t="s">
        <v>433</v>
      </c>
      <c r="B200" t="s">
        <v>434</v>
      </c>
      <c r="C200" t="s">
        <v>36</v>
      </c>
      <c r="D200" t="s">
        <v>18</v>
      </c>
      <c r="E200" t="s">
        <v>75</v>
      </c>
      <c r="F200" t="s">
        <v>31</v>
      </c>
      <c r="G200" s="11">
        <v>45457</v>
      </c>
      <c r="H200" s="12">
        <v>45277</v>
      </c>
      <c r="I200" t="s">
        <v>81</v>
      </c>
      <c r="J200" t="s">
        <v>22</v>
      </c>
      <c r="K200" t="s">
        <v>32</v>
      </c>
      <c r="L200" t="s">
        <v>24</v>
      </c>
      <c r="M200" t="s">
        <v>25</v>
      </c>
      <c r="N200" t="s">
        <v>26</v>
      </c>
      <c r="O200">
        <v>5000</v>
      </c>
      <c r="P200" t="s">
        <v>18</v>
      </c>
      <c r="Q200" t="s">
        <v>883</v>
      </c>
      <c r="R200">
        <v>2023</v>
      </c>
      <c r="S200">
        <v>4</v>
      </c>
    </row>
    <row r="201" spans="1:19" x14ac:dyDescent="0.25">
      <c r="A201" t="s">
        <v>435</v>
      </c>
      <c r="B201" t="s">
        <v>436</v>
      </c>
      <c r="C201" t="s">
        <v>17</v>
      </c>
      <c r="D201" t="s">
        <v>18</v>
      </c>
      <c r="E201" t="s">
        <v>75</v>
      </c>
      <c r="F201" t="s">
        <v>31</v>
      </c>
      <c r="G201" s="11">
        <v>45457</v>
      </c>
      <c r="H201" s="12">
        <v>45277</v>
      </c>
      <c r="I201" t="s">
        <v>81</v>
      </c>
      <c r="J201" t="s">
        <v>22</v>
      </c>
      <c r="K201" t="s">
        <v>23</v>
      </c>
      <c r="L201" t="s">
        <v>96</v>
      </c>
      <c r="M201" t="s">
        <v>47</v>
      </c>
      <c r="N201" t="s">
        <v>26</v>
      </c>
      <c r="O201">
        <v>5000</v>
      </c>
      <c r="P201" t="s">
        <v>18</v>
      </c>
      <c r="Q201" t="s">
        <v>883</v>
      </c>
      <c r="R201">
        <v>2023</v>
      </c>
      <c r="S201">
        <v>4</v>
      </c>
    </row>
    <row r="202" spans="1:19" x14ac:dyDescent="0.25">
      <c r="A202" t="s">
        <v>437</v>
      </c>
      <c r="B202" t="s">
        <v>438</v>
      </c>
      <c r="C202" t="s">
        <v>44</v>
      </c>
      <c r="D202" t="s">
        <v>18</v>
      </c>
      <c r="E202" t="s">
        <v>75</v>
      </c>
      <c r="F202" t="s">
        <v>31</v>
      </c>
      <c r="G202" s="11">
        <v>45457</v>
      </c>
      <c r="H202" s="12">
        <v>45277</v>
      </c>
      <c r="I202" t="s">
        <v>81</v>
      </c>
      <c r="J202" t="s">
        <v>22</v>
      </c>
      <c r="K202" t="s">
        <v>23</v>
      </c>
      <c r="L202" t="s">
        <v>96</v>
      </c>
      <c r="M202" t="s">
        <v>47</v>
      </c>
      <c r="N202" t="s">
        <v>26</v>
      </c>
      <c r="O202">
        <v>5000</v>
      </c>
      <c r="P202" t="s">
        <v>18</v>
      </c>
      <c r="Q202" t="s">
        <v>883</v>
      </c>
      <c r="R202">
        <v>2023</v>
      </c>
      <c r="S202">
        <v>4</v>
      </c>
    </row>
    <row r="203" spans="1:19" x14ac:dyDescent="0.25">
      <c r="A203" t="s">
        <v>439</v>
      </c>
      <c r="B203" t="s">
        <v>440</v>
      </c>
      <c r="C203" t="s">
        <v>44</v>
      </c>
      <c r="D203" t="s">
        <v>18</v>
      </c>
      <c r="E203" t="s">
        <v>75</v>
      </c>
      <c r="F203" t="s">
        <v>31</v>
      </c>
      <c r="G203" s="11">
        <v>45457</v>
      </c>
      <c r="H203" s="12">
        <v>45277</v>
      </c>
      <c r="I203" t="s">
        <v>21</v>
      </c>
      <c r="J203" t="s">
        <v>22</v>
      </c>
      <c r="K203" t="s">
        <v>115</v>
      </c>
      <c r="L203" t="s">
        <v>220</v>
      </c>
      <c r="M203" t="s">
        <v>25</v>
      </c>
      <c r="N203" t="s">
        <v>26</v>
      </c>
      <c r="O203">
        <v>5000</v>
      </c>
      <c r="P203" t="s">
        <v>18</v>
      </c>
      <c r="Q203" t="s">
        <v>883</v>
      </c>
      <c r="R203">
        <v>2023</v>
      </c>
      <c r="S203">
        <v>4</v>
      </c>
    </row>
    <row r="204" spans="1:19" x14ac:dyDescent="0.25">
      <c r="A204" t="s">
        <v>441</v>
      </c>
      <c r="B204" t="s">
        <v>442</v>
      </c>
      <c r="C204" t="s">
        <v>36</v>
      </c>
      <c r="D204" t="s">
        <v>18</v>
      </c>
      <c r="E204" t="s">
        <v>75</v>
      </c>
      <c r="F204" t="s">
        <v>31</v>
      </c>
      <c r="G204" s="11">
        <v>45457</v>
      </c>
      <c r="H204" s="12">
        <v>45277</v>
      </c>
      <c r="I204" t="s">
        <v>21</v>
      </c>
      <c r="J204" t="s">
        <v>22</v>
      </c>
      <c r="K204" t="s">
        <v>38</v>
      </c>
      <c r="L204" t="s">
        <v>96</v>
      </c>
      <c r="M204" t="s">
        <v>47</v>
      </c>
      <c r="N204" t="s">
        <v>26</v>
      </c>
      <c r="O204">
        <v>5000</v>
      </c>
      <c r="P204" t="s">
        <v>18</v>
      </c>
      <c r="Q204" t="s">
        <v>883</v>
      </c>
      <c r="R204">
        <v>2023</v>
      </c>
      <c r="S204">
        <v>4</v>
      </c>
    </row>
    <row r="205" spans="1:19" x14ac:dyDescent="0.25">
      <c r="A205" t="s">
        <v>443</v>
      </c>
      <c r="B205" t="s">
        <v>444</v>
      </c>
      <c r="C205" t="s">
        <v>205</v>
      </c>
      <c r="D205" t="s">
        <v>18</v>
      </c>
      <c r="E205" t="s">
        <v>75</v>
      </c>
      <c r="F205" t="s">
        <v>31</v>
      </c>
      <c r="G205" s="11">
        <v>45457</v>
      </c>
      <c r="H205" s="12">
        <v>45277</v>
      </c>
      <c r="I205" t="s">
        <v>81</v>
      </c>
      <c r="J205" t="s">
        <v>22</v>
      </c>
      <c r="K205" t="s">
        <v>58</v>
      </c>
      <c r="L205" t="s">
        <v>191</v>
      </c>
      <c r="M205" t="s">
        <v>40</v>
      </c>
      <c r="N205" t="s">
        <v>26</v>
      </c>
      <c r="O205">
        <v>5000</v>
      </c>
      <c r="P205" t="s">
        <v>18</v>
      </c>
      <c r="Q205" t="s">
        <v>883</v>
      </c>
      <c r="R205">
        <v>2023</v>
      </c>
      <c r="S205">
        <v>4</v>
      </c>
    </row>
    <row r="206" spans="1:19" x14ac:dyDescent="0.25">
      <c r="A206" t="s">
        <v>445</v>
      </c>
      <c r="B206" t="s">
        <v>446</v>
      </c>
      <c r="C206" t="s">
        <v>36</v>
      </c>
      <c r="D206" t="s">
        <v>18</v>
      </c>
      <c r="E206" t="s">
        <v>75</v>
      </c>
      <c r="F206" t="s">
        <v>31</v>
      </c>
      <c r="G206" s="11">
        <v>45457</v>
      </c>
      <c r="H206" s="12">
        <v>45277</v>
      </c>
      <c r="I206" t="s">
        <v>81</v>
      </c>
      <c r="J206" t="s">
        <v>22</v>
      </c>
      <c r="K206" t="s">
        <v>38</v>
      </c>
      <c r="L206" t="s">
        <v>96</v>
      </c>
      <c r="M206" t="s">
        <v>47</v>
      </c>
      <c r="N206" t="s">
        <v>26</v>
      </c>
      <c r="O206">
        <v>5000</v>
      </c>
      <c r="P206" t="s">
        <v>18</v>
      </c>
      <c r="Q206" t="s">
        <v>883</v>
      </c>
      <c r="R206">
        <v>2023</v>
      </c>
      <c r="S206">
        <v>4</v>
      </c>
    </row>
    <row r="207" spans="1:19" x14ac:dyDescent="0.25">
      <c r="A207" t="s">
        <v>447</v>
      </c>
      <c r="B207" t="s">
        <v>448</v>
      </c>
      <c r="C207" t="s">
        <v>44</v>
      </c>
      <c r="D207" t="s">
        <v>18</v>
      </c>
      <c r="E207" t="s">
        <v>75</v>
      </c>
      <c r="F207" t="s">
        <v>31</v>
      </c>
      <c r="G207" s="11">
        <v>45457</v>
      </c>
      <c r="H207" s="12">
        <v>45277</v>
      </c>
      <c r="I207" t="s">
        <v>81</v>
      </c>
      <c r="J207" t="s">
        <v>22</v>
      </c>
      <c r="K207" t="s">
        <v>32</v>
      </c>
      <c r="L207" t="s">
        <v>24</v>
      </c>
      <c r="M207" t="s">
        <v>25</v>
      </c>
      <c r="N207" t="s">
        <v>26</v>
      </c>
      <c r="O207">
        <v>5000</v>
      </c>
      <c r="P207" t="s">
        <v>18</v>
      </c>
      <c r="Q207" t="s">
        <v>883</v>
      </c>
      <c r="R207">
        <v>2023</v>
      </c>
      <c r="S207">
        <v>4</v>
      </c>
    </row>
    <row r="208" spans="1:19" x14ac:dyDescent="0.25">
      <c r="A208" t="s">
        <v>449</v>
      </c>
      <c r="B208" t="s">
        <v>450</v>
      </c>
      <c r="C208" t="s">
        <v>44</v>
      </c>
      <c r="D208" t="s">
        <v>18</v>
      </c>
      <c r="E208" t="s">
        <v>75</v>
      </c>
      <c r="F208" t="s">
        <v>31</v>
      </c>
      <c r="G208" s="11">
        <v>45457</v>
      </c>
      <c r="H208" s="12">
        <v>45277</v>
      </c>
      <c r="I208" t="s">
        <v>81</v>
      </c>
      <c r="J208" t="s">
        <v>37</v>
      </c>
      <c r="K208" t="s">
        <v>32</v>
      </c>
      <c r="L208" t="s">
        <v>24</v>
      </c>
      <c r="M208" t="s">
        <v>25</v>
      </c>
      <c r="N208" t="s">
        <v>26</v>
      </c>
      <c r="O208">
        <v>5000</v>
      </c>
      <c r="P208" t="s">
        <v>18</v>
      </c>
      <c r="Q208" t="s">
        <v>883</v>
      </c>
      <c r="R208">
        <v>2023</v>
      </c>
      <c r="S208">
        <v>4</v>
      </c>
    </row>
    <row r="209" spans="1:19" x14ac:dyDescent="0.25">
      <c r="A209" t="s">
        <v>451</v>
      </c>
      <c r="B209" t="s">
        <v>452</v>
      </c>
      <c r="C209" t="s">
        <v>44</v>
      </c>
      <c r="D209" t="s">
        <v>18</v>
      </c>
      <c r="E209" t="s">
        <v>75</v>
      </c>
      <c r="F209" t="s">
        <v>31</v>
      </c>
      <c r="G209" s="11">
        <v>45457</v>
      </c>
      <c r="H209" s="12">
        <v>45277</v>
      </c>
      <c r="I209" t="s">
        <v>81</v>
      </c>
      <c r="J209" t="s">
        <v>22</v>
      </c>
      <c r="K209" t="s">
        <v>38</v>
      </c>
      <c r="L209" t="s">
        <v>24</v>
      </c>
      <c r="M209" t="s">
        <v>25</v>
      </c>
      <c r="N209" t="s">
        <v>26</v>
      </c>
      <c r="O209">
        <v>5000</v>
      </c>
      <c r="P209" t="s">
        <v>18</v>
      </c>
      <c r="Q209" t="s">
        <v>883</v>
      </c>
      <c r="R209">
        <v>2023</v>
      </c>
      <c r="S209">
        <v>4</v>
      </c>
    </row>
    <row r="210" spans="1:19" x14ac:dyDescent="0.25">
      <c r="A210" t="s">
        <v>453</v>
      </c>
      <c r="B210" t="s">
        <v>454</v>
      </c>
      <c r="C210" t="s">
        <v>44</v>
      </c>
      <c r="D210" t="s">
        <v>18</v>
      </c>
      <c r="E210" t="s">
        <v>75</v>
      </c>
      <c r="F210" t="s">
        <v>31</v>
      </c>
      <c r="G210" s="11">
        <v>45457</v>
      </c>
      <c r="H210" s="12">
        <v>45277</v>
      </c>
      <c r="I210" t="s">
        <v>21</v>
      </c>
      <c r="J210" t="s">
        <v>22</v>
      </c>
      <c r="K210" t="s">
        <v>23</v>
      </c>
      <c r="L210" t="s">
        <v>24</v>
      </c>
      <c r="M210" t="s">
        <v>25</v>
      </c>
      <c r="N210" t="s">
        <v>26</v>
      </c>
      <c r="O210">
        <v>5000</v>
      </c>
      <c r="P210" t="s">
        <v>18</v>
      </c>
      <c r="Q210" t="s">
        <v>883</v>
      </c>
      <c r="R210">
        <v>2023</v>
      </c>
      <c r="S210">
        <v>4</v>
      </c>
    </row>
    <row r="211" spans="1:19" x14ac:dyDescent="0.25">
      <c r="A211" t="s">
        <v>455</v>
      </c>
      <c r="B211" t="s">
        <v>456</v>
      </c>
      <c r="C211" t="s">
        <v>44</v>
      </c>
      <c r="D211" t="s">
        <v>202</v>
      </c>
      <c r="E211" t="s">
        <v>75</v>
      </c>
      <c r="F211" t="s">
        <v>31</v>
      </c>
      <c r="G211" s="11">
        <v>45458</v>
      </c>
      <c r="H211" s="12">
        <v>45278</v>
      </c>
      <c r="I211" t="s">
        <v>21</v>
      </c>
      <c r="J211" t="s">
        <v>22</v>
      </c>
      <c r="K211" t="s">
        <v>23</v>
      </c>
      <c r="L211" t="s">
        <v>24</v>
      </c>
      <c r="M211" t="s">
        <v>25</v>
      </c>
      <c r="N211" t="s">
        <v>26</v>
      </c>
      <c r="O211">
        <v>5000</v>
      </c>
      <c r="P211" t="s">
        <v>872</v>
      </c>
      <c r="Q211" t="s">
        <v>883</v>
      </c>
      <c r="R211">
        <v>2023</v>
      </c>
      <c r="S211">
        <v>4</v>
      </c>
    </row>
    <row r="212" spans="1:19" x14ac:dyDescent="0.25">
      <c r="A212" t="s">
        <v>457</v>
      </c>
      <c r="B212" t="s">
        <v>458</v>
      </c>
      <c r="C212" t="s">
        <v>44</v>
      </c>
      <c r="D212" t="s">
        <v>18</v>
      </c>
      <c r="E212" t="s">
        <v>75</v>
      </c>
      <c r="F212" t="s">
        <v>31</v>
      </c>
      <c r="G212" s="11">
        <v>45458</v>
      </c>
      <c r="H212" s="12">
        <v>45278</v>
      </c>
      <c r="I212" t="s">
        <v>81</v>
      </c>
      <c r="J212" t="s">
        <v>22</v>
      </c>
      <c r="K212" t="s">
        <v>32</v>
      </c>
      <c r="L212" t="s">
        <v>24</v>
      </c>
      <c r="M212" t="s">
        <v>25</v>
      </c>
      <c r="N212" t="s">
        <v>26</v>
      </c>
      <c r="O212">
        <v>5000</v>
      </c>
      <c r="P212" t="s">
        <v>18</v>
      </c>
      <c r="Q212" t="s">
        <v>883</v>
      </c>
      <c r="R212">
        <v>2023</v>
      </c>
      <c r="S212">
        <v>4</v>
      </c>
    </row>
    <row r="213" spans="1:19" x14ac:dyDescent="0.25">
      <c r="A213" t="s">
        <v>459</v>
      </c>
      <c r="B213" t="s">
        <v>460</v>
      </c>
      <c r="C213" t="s">
        <v>36</v>
      </c>
      <c r="D213" t="s">
        <v>18</v>
      </c>
      <c r="E213" t="s">
        <v>75</v>
      </c>
      <c r="F213" t="s">
        <v>31</v>
      </c>
      <c r="G213" s="11">
        <v>45458</v>
      </c>
      <c r="H213" s="12">
        <v>45278</v>
      </c>
      <c r="I213" t="s">
        <v>81</v>
      </c>
      <c r="J213" t="s">
        <v>22</v>
      </c>
      <c r="K213" t="s">
        <v>23</v>
      </c>
      <c r="L213" t="s">
        <v>116</v>
      </c>
      <c r="M213" t="s">
        <v>47</v>
      </c>
      <c r="N213" t="s">
        <v>26</v>
      </c>
      <c r="O213">
        <v>5000</v>
      </c>
      <c r="P213" t="s">
        <v>18</v>
      </c>
      <c r="Q213" t="s">
        <v>883</v>
      </c>
      <c r="R213">
        <v>2023</v>
      </c>
      <c r="S213">
        <v>4</v>
      </c>
    </row>
    <row r="214" spans="1:19" x14ac:dyDescent="0.25">
      <c r="A214" t="s">
        <v>461</v>
      </c>
      <c r="B214" t="s">
        <v>462</v>
      </c>
      <c r="C214" t="s">
        <v>17</v>
      </c>
      <c r="D214" t="s">
        <v>18</v>
      </c>
      <c r="E214" t="s">
        <v>75</v>
      </c>
      <c r="F214" t="s">
        <v>31</v>
      </c>
      <c r="G214" s="11">
        <v>45458</v>
      </c>
      <c r="H214" s="12">
        <v>45278</v>
      </c>
      <c r="I214" t="s">
        <v>81</v>
      </c>
      <c r="J214" t="s">
        <v>22</v>
      </c>
      <c r="K214" t="s">
        <v>38</v>
      </c>
      <c r="L214" t="s">
        <v>96</v>
      </c>
      <c r="M214" t="s">
        <v>47</v>
      </c>
      <c r="N214" t="s">
        <v>26</v>
      </c>
      <c r="O214">
        <v>5000</v>
      </c>
      <c r="P214" t="s">
        <v>18</v>
      </c>
      <c r="Q214" t="s">
        <v>883</v>
      </c>
      <c r="R214">
        <v>2023</v>
      </c>
      <c r="S214">
        <v>4</v>
      </c>
    </row>
    <row r="215" spans="1:19" x14ac:dyDescent="0.25">
      <c r="A215" t="s">
        <v>463</v>
      </c>
      <c r="B215" t="s">
        <v>464</v>
      </c>
      <c r="C215" t="s">
        <v>44</v>
      </c>
      <c r="D215" t="s">
        <v>18</v>
      </c>
      <c r="E215" t="s">
        <v>75</v>
      </c>
      <c r="F215" t="s">
        <v>31</v>
      </c>
      <c r="G215" s="11">
        <v>45458</v>
      </c>
      <c r="H215" s="12">
        <v>45278</v>
      </c>
      <c r="I215" t="s">
        <v>81</v>
      </c>
      <c r="J215" t="s">
        <v>22</v>
      </c>
      <c r="K215" t="s">
        <v>23</v>
      </c>
      <c r="L215" t="s">
        <v>465</v>
      </c>
      <c r="M215" t="s">
        <v>51</v>
      </c>
      <c r="N215" t="s">
        <v>26</v>
      </c>
      <c r="O215">
        <v>5000</v>
      </c>
      <c r="P215" t="s">
        <v>18</v>
      </c>
      <c r="Q215" t="s">
        <v>883</v>
      </c>
      <c r="R215">
        <v>2023</v>
      </c>
      <c r="S215">
        <v>4</v>
      </c>
    </row>
    <row r="216" spans="1:19" x14ac:dyDescent="0.25">
      <c r="A216" t="s">
        <v>466</v>
      </c>
      <c r="B216" t="s">
        <v>467</v>
      </c>
      <c r="C216" t="s">
        <v>36</v>
      </c>
      <c r="D216" t="s">
        <v>18</v>
      </c>
      <c r="E216" t="s">
        <v>75</v>
      </c>
      <c r="F216" t="s">
        <v>31</v>
      </c>
      <c r="G216" s="11">
        <v>45458</v>
      </c>
      <c r="H216" s="12">
        <v>45278</v>
      </c>
      <c r="I216" t="s">
        <v>81</v>
      </c>
      <c r="J216" t="s">
        <v>37</v>
      </c>
      <c r="K216" t="s">
        <v>32</v>
      </c>
      <c r="L216" t="s">
        <v>24</v>
      </c>
      <c r="M216" t="s">
        <v>25</v>
      </c>
      <c r="N216" t="s">
        <v>26</v>
      </c>
      <c r="O216">
        <v>5000</v>
      </c>
      <c r="P216" t="s">
        <v>18</v>
      </c>
      <c r="Q216" t="s">
        <v>883</v>
      </c>
      <c r="R216">
        <v>2023</v>
      </c>
      <c r="S216">
        <v>4</v>
      </c>
    </row>
    <row r="217" spans="1:19" x14ac:dyDescent="0.25">
      <c r="A217" t="s">
        <v>468</v>
      </c>
      <c r="B217" t="s">
        <v>469</v>
      </c>
      <c r="C217" t="s">
        <v>17</v>
      </c>
      <c r="D217" t="s">
        <v>18</v>
      </c>
      <c r="E217" t="s">
        <v>75</v>
      </c>
      <c r="F217" t="s">
        <v>31</v>
      </c>
      <c r="G217" s="11">
        <v>45458</v>
      </c>
      <c r="H217" s="12">
        <v>45278</v>
      </c>
      <c r="I217" t="s">
        <v>81</v>
      </c>
      <c r="J217" t="s">
        <v>22</v>
      </c>
      <c r="K217" t="s">
        <v>32</v>
      </c>
      <c r="L217" t="s">
        <v>24</v>
      </c>
      <c r="M217" t="s">
        <v>25</v>
      </c>
      <c r="N217" t="s">
        <v>26</v>
      </c>
      <c r="O217">
        <v>5000</v>
      </c>
      <c r="P217" t="s">
        <v>18</v>
      </c>
      <c r="Q217" t="s">
        <v>883</v>
      </c>
      <c r="R217">
        <v>2023</v>
      </c>
      <c r="S217">
        <v>4</v>
      </c>
    </row>
    <row r="218" spans="1:19" x14ac:dyDescent="0.25">
      <c r="A218" t="s">
        <v>470</v>
      </c>
      <c r="B218" t="s">
        <v>471</v>
      </c>
      <c r="C218" t="s">
        <v>44</v>
      </c>
      <c r="D218" t="s">
        <v>18</v>
      </c>
      <c r="E218" t="s">
        <v>75</v>
      </c>
      <c r="F218" t="s">
        <v>31</v>
      </c>
      <c r="G218" s="11">
        <v>45458</v>
      </c>
      <c r="H218" s="12">
        <v>45278</v>
      </c>
      <c r="I218" t="s">
        <v>21</v>
      </c>
      <c r="J218" t="s">
        <v>22</v>
      </c>
      <c r="K218" t="s">
        <v>38</v>
      </c>
      <c r="L218" t="s">
        <v>24</v>
      </c>
      <c r="M218" t="s">
        <v>25</v>
      </c>
      <c r="N218" t="s">
        <v>26</v>
      </c>
      <c r="O218">
        <v>5000</v>
      </c>
      <c r="P218" t="s">
        <v>18</v>
      </c>
      <c r="Q218" t="s">
        <v>883</v>
      </c>
      <c r="R218">
        <v>2023</v>
      </c>
      <c r="S218">
        <v>4</v>
      </c>
    </row>
    <row r="219" spans="1:19" x14ac:dyDescent="0.25">
      <c r="A219" t="s">
        <v>472</v>
      </c>
      <c r="B219" t="s">
        <v>473</v>
      </c>
      <c r="C219" t="s">
        <v>44</v>
      </c>
      <c r="D219" t="s">
        <v>18</v>
      </c>
      <c r="E219" t="s">
        <v>75</v>
      </c>
      <c r="F219" t="s">
        <v>31</v>
      </c>
      <c r="G219" s="11">
        <v>45458</v>
      </c>
      <c r="H219" s="12">
        <v>45278</v>
      </c>
      <c r="I219" t="s">
        <v>21</v>
      </c>
      <c r="J219" t="s">
        <v>37</v>
      </c>
      <c r="K219" t="s">
        <v>23</v>
      </c>
      <c r="L219" t="s">
        <v>24</v>
      </c>
      <c r="M219" t="s">
        <v>25</v>
      </c>
      <c r="N219" t="s">
        <v>26</v>
      </c>
      <c r="O219">
        <v>5000</v>
      </c>
      <c r="P219" t="s">
        <v>18</v>
      </c>
      <c r="Q219" t="s">
        <v>883</v>
      </c>
      <c r="R219">
        <v>2023</v>
      </c>
      <c r="S219">
        <v>4</v>
      </c>
    </row>
    <row r="220" spans="1:19" x14ac:dyDescent="0.25">
      <c r="A220" t="s">
        <v>474</v>
      </c>
      <c r="B220" t="s">
        <v>475</v>
      </c>
      <c r="C220" t="s">
        <v>36</v>
      </c>
      <c r="D220" t="s">
        <v>18</v>
      </c>
      <c r="E220" t="s">
        <v>75</v>
      </c>
      <c r="F220" t="s">
        <v>31</v>
      </c>
      <c r="G220" s="11">
        <v>45458</v>
      </c>
      <c r="H220" s="12">
        <v>45278</v>
      </c>
      <c r="I220" t="s">
        <v>21</v>
      </c>
      <c r="J220" t="s">
        <v>22</v>
      </c>
      <c r="K220" t="s">
        <v>38</v>
      </c>
      <c r="L220" t="s">
        <v>24</v>
      </c>
      <c r="M220" t="s">
        <v>25</v>
      </c>
      <c r="N220" t="s">
        <v>26</v>
      </c>
      <c r="O220">
        <v>5000</v>
      </c>
      <c r="P220" t="s">
        <v>18</v>
      </c>
      <c r="Q220" t="s">
        <v>883</v>
      </c>
      <c r="R220">
        <v>2023</v>
      </c>
      <c r="S220">
        <v>4</v>
      </c>
    </row>
    <row r="221" spans="1:19" x14ac:dyDescent="0.25">
      <c r="A221" t="s">
        <v>476</v>
      </c>
      <c r="B221" t="s">
        <v>477</v>
      </c>
      <c r="C221" t="s">
        <v>44</v>
      </c>
      <c r="D221" t="s">
        <v>18</v>
      </c>
      <c r="E221" t="s">
        <v>75</v>
      </c>
      <c r="F221" t="s">
        <v>31</v>
      </c>
      <c r="G221" s="11">
        <v>45458</v>
      </c>
      <c r="H221" s="12">
        <v>45278</v>
      </c>
      <c r="I221" t="s">
        <v>21</v>
      </c>
      <c r="J221" t="s">
        <v>22</v>
      </c>
      <c r="K221" t="s">
        <v>38</v>
      </c>
      <c r="L221" t="s">
        <v>24</v>
      </c>
      <c r="M221" t="s">
        <v>25</v>
      </c>
      <c r="N221" t="s">
        <v>26</v>
      </c>
      <c r="O221">
        <v>5000</v>
      </c>
      <c r="P221" t="s">
        <v>18</v>
      </c>
      <c r="Q221" t="s">
        <v>883</v>
      </c>
      <c r="R221">
        <v>2023</v>
      </c>
      <c r="S221">
        <v>4</v>
      </c>
    </row>
    <row r="222" spans="1:19" x14ac:dyDescent="0.25">
      <c r="A222" t="s">
        <v>478</v>
      </c>
      <c r="B222" t="s">
        <v>479</v>
      </c>
      <c r="C222" t="s">
        <v>17</v>
      </c>
      <c r="D222" t="s">
        <v>18</v>
      </c>
      <c r="E222" t="s">
        <v>75</v>
      </c>
      <c r="F222" t="s">
        <v>31</v>
      </c>
      <c r="G222" s="11">
        <v>45458</v>
      </c>
      <c r="H222" s="12">
        <v>45278</v>
      </c>
      <c r="I222" t="s">
        <v>21</v>
      </c>
      <c r="J222" t="s">
        <v>22</v>
      </c>
      <c r="K222" t="s">
        <v>32</v>
      </c>
      <c r="L222" t="s">
        <v>96</v>
      </c>
      <c r="M222" t="s">
        <v>47</v>
      </c>
      <c r="N222" t="s">
        <v>26</v>
      </c>
      <c r="O222">
        <v>5000</v>
      </c>
      <c r="P222" t="s">
        <v>18</v>
      </c>
      <c r="Q222" t="s">
        <v>883</v>
      </c>
      <c r="R222">
        <v>2023</v>
      </c>
      <c r="S222">
        <v>4</v>
      </c>
    </row>
    <row r="223" spans="1:19" x14ac:dyDescent="0.25">
      <c r="A223" t="s">
        <v>480</v>
      </c>
      <c r="B223" t="s">
        <v>481</v>
      </c>
      <c r="C223" t="s">
        <v>44</v>
      </c>
      <c r="D223" t="s">
        <v>18</v>
      </c>
      <c r="E223" t="s">
        <v>75</v>
      </c>
      <c r="F223" t="s">
        <v>31</v>
      </c>
      <c r="G223" s="11">
        <v>45458</v>
      </c>
      <c r="H223" s="12">
        <v>45278</v>
      </c>
      <c r="I223" t="s">
        <v>21</v>
      </c>
      <c r="J223" t="s">
        <v>22</v>
      </c>
      <c r="K223" t="s">
        <v>38</v>
      </c>
      <c r="L223" t="s">
        <v>482</v>
      </c>
      <c r="M223" t="s">
        <v>40</v>
      </c>
      <c r="N223" t="s">
        <v>26</v>
      </c>
      <c r="O223">
        <v>5000</v>
      </c>
      <c r="P223" t="s">
        <v>18</v>
      </c>
      <c r="Q223" t="s">
        <v>883</v>
      </c>
      <c r="R223">
        <v>2023</v>
      </c>
      <c r="S223">
        <v>4</v>
      </c>
    </row>
    <row r="224" spans="1:19" x14ac:dyDescent="0.25">
      <c r="A224" t="s">
        <v>483</v>
      </c>
      <c r="B224" t="s">
        <v>484</v>
      </c>
      <c r="C224" t="s">
        <v>44</v>
      </c>
      <c r="D224" t="s">
        <v>18</v>
      </c>
      <c r="E224" t="s">
        <v>75</v>
      </c>
      <c r="F224" t="s">
        <v>31</v>
      </c>
      <c r="G224" s="11">
        <v>45458</v>
      </c>
      <c r="H224" s="12">
        <v>45278</v>
      </c>
      <c r="I224" t="s">
        <v>81</v>
      </c>
      <c r="J224" t="s">
        <v>22</v>
      </c>
      <c r="K224" t="s">
        <v>38</v>
      </c>
      <c r="L224" t="s">
        <v>220</v>
      </c>
      <c r="M224" t="s">
        <v>25</v>
      </c>
      <c r="N224" t="s">
        <v>26</v>
      </c>
      <c r="O224">
        <v>5000</v>
      </c>
      <c r="P224" t="s">
        <v>18</v>
      </c>
      <c r="Q224" t="s">
        <v>883</v>
      </c>
      <c r="R224">
        <v>2023</v>
      </c>
      <c r="S224">
        <v>4</v>
      </c>
    </row>
    <row r="225" spans="1:19" x14ac:dyDescent="0.25">
      <c r="A225" t="s">
        <v>485</v>
      </c>
      <c r="B225" t="s">
        <v>486</v>
      </c>
      <c r="C225" t="s">
        <v>36</v>
      </c>
      <c r="D225" t="s">
        <v>202</v>
      </c>
      <c r="E225" t="s">
        <v>75</v>
      </c>
      <c r="F225" t="s">
        <v>31</v>
      </c>
      <c r="G225" s="11">
        <v>45458</v>
      </c>
      <c r="H225" s="12">
        <v>45278</v>
      </c>
      <c r="I225" t="s">
        <v>21</v>
      </c>
      <c r="J225" t="s">
        <v>22</v>
      </c>
      <c r="K225" t="s">
        <v>38</v>
      </c>
      <c r="L225" t="s">
        <v>24</v>
      </c>
      <c r="M225" t="s">
        <v>25</v>
      </c>
      <c r="N225" t="s">
        <v>26</v>
      </c>
      <c r="O225">
        <v>5000</v>
      </c>
      <c r="P225" t="s">
        <v>872</v>
      </c>
      <c r="Q225" t="s">
        <v>883</v>
      </c>
      <c r="R225">
        <v>2023</v>
      </c>
      <c r="S225">
        <v>4</v>
      </c>
    </row>
    <row r="226" spans="1:19" x14ac:dyDescent="0.25">
      <c r="A226" t="s">
        <v>487</v>
      </c>
      <c r="B226" t="s">
        <v>488</v>
      </c>
      <c r="C226" t="s">
        <v>44</v>
      </c>
      <c r="D226" t="s">
        <v>18</v>
      </c>
      <c r="E226" t="s">
        <v>75</v>
      </c>
      <c r="F226" t="s">
        <v>31</v>
      </c>
      <c r="G226" s="11">
        <v>45458</v>
      </c>
      <c r="H226" s="12">
        <v>45278</v>
      </c>
      <c r="I226" t="s">
        <v>21</v>
      </c>
      <c r="J226" t="s">
        <v>22</v>
      </c>
      <c r="K226" t="s">
        <v>23</v>
      </c>
      <c r="L226" t="s">
        <v>290</v>
      </c>
      <c r="M226" t="s">
        <v>47</v>
      </c>
      <c r="N226" t="s">
        <v>26</v>
      </c>
      <c r="O226">
        <v>5000</v>
      </c>
      <c r="P226" t="s">
        <v>18</v>
      </c>
      <c r="Q226" t="s">
        <v>883</v>
      </c>
      <c r="R226">
        <v>2023</v>
      </c>
      <c r="S226">
        <v>4</v>
      </c>
    </row>
    <row r="227" spans="1:19" x14ac:dyDescent="0.25">
      <c r="A227" t="s">
        <v>489</v>
      </c>
      <c r="B227" t="s">
        <v>490</v>
      </c>
      <c r="C227" t="s">
        <v>44</v>
      </c>
      <c r="D227" t="s">
        <v>18</v>
      </c>
      <c r="E227" t="s">
        <v>75</v>
      </c>
      <c r="F227" t="s">
        <v>31</v>
      </c>
      <c r="G227" s="11">
        <v>45458</v>
      </c>
      <c r="H227" s="12">
        <v>45278</v>
      </c>
      <c r="I227" t="s">
        <v>81</v>
      </c>
      <c r="J227" t="s">
        <v>22</v>
      </c>
      <c r="K227" t="s">
        <v>23</v>
      </c>
      <c r="L227" t="s">
        <v>225</v>
      </c>
      <c r="M227" t="s">
        <v>47</v>
      </c>
      <c r="N227" t="s">
        <v>26</v>
      </c>
      <c r="O227">
        <v>5000</v>
      </c>
      <c r="P227" t="s">
        <v>18</v>
      </c>
      <c r="Q227" t="s">
        <v>883</v>
      </c>
      <c r="R227">
        <v>2023</v>
      </c>
      <c r="S227">
        <v>4</v>
      </c>
    </row>
    <row r="228" spans="1:19" x14ac:dyDescent="0.25">
      <c r="A228" t="s">
        <v>491</v>
      </c>
      <c r="B228" t="s">
        <v>492</v>
      </c>
      <c r="C228" t="s">
        <v>17</v>
      </c>
      <c r="D228" t="s">
        <v>18</v>
      </c>
      <c r="E228" t="s">
        <v>75</v>
      </c>
      <c r="F228" t="s">
        <v>31</v>
      </c>
      <c r="G228" s="11">
        <v>45459</v>
      </c>
      <c r="H228" s="12">
        <v>45279</v>
      </c>
      <c r="I228" t="s">
        <v>21</v>
      </c>
      <c r="J228" t="s">
        <v>22</v>
      </c>
      <c r="K228" t="s">
        <v>23</v>
      </c>
      <c r="L228" t="s">
        <v>225</v>
      </c>
      <c r="M228" t="s">
        <v>47</v>
      </c>
      <c r="N228" t="s">
        <v>26</v>
      </c>
      <c r="O228">
        <v>5000</v>
      </c>
      <c r="P228" t="s">
        <v>18</v>
      </c>
      <c r="Q228" t="s">
        <v>883</v>
      </c>
      <c r="R228">
        <v>2023</v>
      </c>
      <c r="S228">
        <v>4</v>
      </c>
    </row>
    <row r="229" spans="1:19" x14ac:dyDescent="0.25">
      <c r="A229" t="s">
        <v>493</v>
      </c>
      <c r="B229" t="s">
        <v>494</v>
      </c>
      <c r="C229" t="s">
        <v>36</v>
      </c>
      <c r="D229" t="s">
        <v>18</v>
      </c>
      <c r="E229" t="s">
        <v>75</v>
      </c>
      <c r="F229" t="s">
        <v>31</v>
      </c>
      <c r="G229" s="11">
        <v>45459</v>
      </c>
      <c r="H229" s="12">
        <v>45279</v>
      </c>
      <c r="I229" t="s">
        <v>21</v>
      </c>
      <c r="J229" t="s">
        <v>22</v>
      </c>
      <c r="K229" t="s">
        <v>23</v>
      </c>
      <c r="L229" t="s">
        <v>220</v>
      </c>
      <c r="M229" t="s">
        <v>25</v>
      </c>
      <c r="N229" t="s">
        <v>26</v>
      </c>
      <c r="O229">
        <v>5000</v>
      </c>
      <c r="P229" t="s">
        <v>18</v>
      </c>
      <c r="Q229" t="s">
        <v>883</v>
      </c>
      <c r="R229">
        <v>2023</v>
      </c>
      <c r="S229">
        <v>4</v>
      </c>
    </row>
    <row r="230" spans="1:19" x14ac:dyDescent="0.25">
      <c r="A230" t="s">
        <v>495</v>
      </c>
      <c r="B230" t="s">
        <v>496</v>
      </c>
      <c r="C230" t="s">
        <v>44</v>
      </c>
      <c r="D230" t="s">
        <v>18</v>
      </c>
      <c r="E230" t="s">
        <v>75</v>
      </c>
      <c r="F230" t="s">
        <v>31</v>
      </c>
      <c r="G230" s="11">
        <v>45459</v>
      </c>
      <c r="H230" s="12">
        <v>45279</v>
      </c>
      <c r="I230" t="s">
        <v>21</v>
      </c>
      <c r="J230" t="s">
        <v>22</v>
      </c>
      <c r="K230" t="s">
        <v>115</v>
      </c>
      <c r="L230" t="s">
        <v>225</v>
      </c>
      <c r="M230" t="s">
        <v>47</v>
      </c>
      <c r="N230" t="s">
        <v>26</v>
      </c>
      <c r="O230">
        <v>5000</v>
      </c>
      <c r="P230" t="s">
        <v>18</v>
      </c>
      <c r="Q230" t="s">
        <v>883</v>
      </c>
      <c r="R230">
        <v>2023</v>
      </c>
      <c r="S230">
        <v>4</v>
      </c>
    </row>
    <row r="231" spans="1:19" x14ac:dyDescent="0.25">
      <c r="A231" t="s">
        <v>497</v>
      </c>
      <c r="B231" t="s">
        <v>498</v>
      </c>
      <c r="C231" t="s">
        <v>36</v>
      </c>
      <c r="D231" t="s">
        <v>18</v>
      </c>
      <c r="E231" t="s">
        <v>75</v>
      </c>
      <c r="F231" t="s">
        <v>31</v>
      </c>
      <c r="G231" s="11">
        <v>45459</v>
      </c>
      <c r="H231" s="12">
        <v>45279</v>
      </c>
      <c r="I231" t="s">
        <v>21</v>
      </c>
      <c r="J231" t="s">
        <v>22</v>
      </c>
      <c r="K231" t="s">
        <v>32</v>
      </c>
      <c r="L231" t="s">
        <v>220</v>
      </c>
      <c r="M231" t="s">
        <v>25</v>
      </c>
      <c r="N231" t="s">
        <v>26</v>
      </c>
      <c r="O231">
        <v>5000</v>
      </c>
      <c r="P231" t="s">
        <v>18</v>
      </c>
      <c r="Q231" t="s">
        <v>883</v>
      </c>
      <c r="R231">
        <v>2023</v>
      </c>
      <c r="S231">
        <v>4</v>
      </c>
    </row>
    <row r="232" spans="1:19" x14ac:dyDescent="0.25">
      <c r="A232" t="s">
        <v>499</v>
      </c>
      <c r="B232" t="s">
        <v>500</v>
      </c>
      <c r="C232" t="s">
        <v>44</v>
      </c>
      <c r="D232" t="s">
        <v>18</v>
      </c>
      <c r="E232" t="s">
        <v>75</v>
      </c>
      <c r="F232" t="s">
        <v>31</v>
      </c>
      <c r="G232" s="11">
        <v>45460</v>
      </c>
      <c r="H232" s="12">
        <v>45280</v>
      </c>
      <c r="I232" t="s">
        <v>81</v>
      </c>
      <c r="J232" t="s">
        <v>22</v>
      </c>
      <c r="K232" t="s">
        <v>23</v>
      </c>
      <c r="L232" t="s">
        <v>96</v>
      </c>
      <c r="M232" t="s">
        <v>47</v>
      </c>
      <c r="N232" t="s">
        <v>26</v>
      </c>
      <c r="O232">
        <v>5000</v>
      </c>
      <c r="P232" t="s">
        <v>18</v>
      </c>
      <c r="Q232" t="s">
        <v>883</v>
      </c>
      <c r="R232">
        <v>2023</v>
      </c>
      <c r="S232">
        <v>4</v>
      </c>
    </row>
    <row r="233" spans="1:19" x14ac:dyDescent="0.25">
      <c r="A233" t="s">
        <v>501</v>
      </c>
      <c r="B233" t="s">
        <v>502</v>
      </c>
      <c r="C233" t="s">
        <v>44</v>
      </c>
      <c r="D233" t="s">
        <v>18</v>
      </c>
      <c r="E233" t="s">
        <v>75</v>
      </c>
      <c r="F233" t="s">
        <v>31</v>
      </c>
      <c r="G233" s="11">
        <v>45460</v>
      </c>
      <c r="H233" s="12">
        <v>45280</v>
      </c>
      <c r="I233" t="s">
        <v>81</v>
      </c>
      <c r="J233" t="s">
        <v>22</v>
      </c>
      <c r="K233" t="s">
        <v>58</v>
      </c>
      <c r="L233" t="s">
        <v>24</v>
      </c>
      <c r="M233" t="s">
        <v>25</v>
      </c>
      <c r="N233" t="s">
        <v>26</v>
      </c>
      <c r="O233">
        <v>5000</v>
      </c>
      <c r="P233" t="s">
        <v>18</v>
      </c>
      <c r="Q233" t="s">
        <v>883</v>
      </c>
      <c r="R233">
        <v>2023</v>
      </c>
      <c r="S233">
        <v>4</v>
      </c>
    </row>
    <row r="234" spans="1:19" x14ac:dyDescent="0.25">
      <c r="A234" t="s">
        <v>503</v>
      </c>
      <c r="B234" t="s">
        <v>504</v>
      </c>
      <c r="C234" t="s">
        <v>44</v>
      </c>
      <c r="D234" t="s">
        <v>18</v>
      </c>
      <c r="E234" t="s">
        <v>75</v>
      </c>
      <c r="F234" t="s">
        <v>31</v>
      </c>
      <c r="G234" s="11">
        <v>45460</v>
      </c>
      <c r="H234" s="12">
        <v>45280</v>
      </c>
      <c r="I234" t="s">
        <v>81</v>
      </c>
      <c r="J234" t="s">
        <v>22</v>
      </c>
      <c r="K234" t="s">
        <v>23</v>
      </c>
      <c r="L234" t="s">
        <v>24</v>
      </c>
      <c r="M234" t="s">
        <v>25</v>
      </c>
      <c r="N234" t="s">
        <v>26</v>
      </c>
      <c r="O234">
        <v>5000</v>
      </c>
      <c r="P234" t="s">
        <v>18</v>
      </c>
      <c r="Q234" t="s">
        <v>883</v>
      </c>
      <c r="R234">
        <v>2023</v>
      </c>
      <c r="S234">
        <v>4</v>
      </c>
    </row>
    <row r="235" spans="1:19" x14ac:dyDescent="0.25">
      <c r="A235" t="s">
        <v>505</v>
      </c>
      <c r="B235" t="s">
        <v>506</v>
      </c>
      <c r="C235" t="s">
        <v>205</v>
      </c>
      <c r="D235" t="s">
        <v>18</v>
      </c>
      <c r="E235" t="s">
        <v>75</v>
      </c>
      <c r="F235" t="s">
        <v>31</v>
      </c>
      <c r="G235" s="11">
        <v>45460</v>
      </c>
      <c r="H235" s="12">
        <v>45280</v>
      </c>
      <c r="I235" t="s">
        <v>21</v>
      </c>
      <c r="J235" t="s">
        <v>22</v>
      </c>
      <c r="K235" t="s">
        <v>23</v>
      </c>
      <c r="L235" t="s">
        <v>24</v>
      </c>
      <c r="M235" t="s">
        <v>25</v>
      </c>
      <c r="N235" t="s">
        <v>26</v>
      </c>
      <c r="O235">
        <v>5000</v>
      </c>
      <c r="P235" t="s">
        <v>18</v>
      </c>
      <c r="Q235" t="s">
        <v>883</v>
      </c>
      <c r="R235">
        <v>2023</v>
      </c>
      <c r="S235">
        <v>4</v>
      </c>
    </row>
    <row r="236" spans="1:19" x14ac:dyDescent="0.25">
      <c r="A236" t="s">
        <v>507</v>
      </c>
      <c r="B236" t="s">
        <v>508</v>
      </c>
      <c r="C236" t="s">
        <v>44</v>
      </c>
      <c r="D236" t="s">
        <v>18</v>
      </c>
      <c r="E236" t="s">
        <v>75</v>
      </c>
      <c r="F236" t="s">
        <v>31</v>
      </c>
      <c r="G236" s="11">
        <v>45460</v>
      </c>
      <c r="H236" s="12">
        <v>45280</v>
      </c>
      <c r="I236" t="s">
        <v>21</v>
      </c>
      <c r="J236" t="s">
        <v>22</v>
      </c>
      <c r="K236" t="s">
        <v>58</v>
      </c>
      <c r="L236" t="s">
        <v>465</v>
      </c>
      <c r="M236" t="s">
        <v>51</v>
      </c>
      <c r="N236" t="s">
        <v>26</v>
      </c>
      <c r="O236">
        <v>5000</v>
      </c>
      <c r="P236" t="s">
        <v>18</v>
      </c>
      <c r="Q236" t="s">
        <v>883</v>
      </c>
      <c r="R236">
        <v>2023</v>
      </c>
      <c r="S236">
        <v>4</v>
      </c>
    </row>
    <row r="237" spans="1:19" x14ac:dyDescent="0.25">
      <c r="A237" t="s">
        <v>509</v>
      </c>
      <c r="B237" t="s">
        <v>510</v>
      </c>
      <c r="C237" t="s">
        <v>44</v>
      </c>
      <c r="D237" t="s">
        <v>18</v>
      </c>
      <c r="E237" t="s">
        <v>75</v>
      </c>
      <c r="F237" t="s">
        <v>31</v>
      </c>
      <c r="G237" s="11">
        <v>45460</v>
      </c>
      <c r="H237" s="12">
        <v>45280</v>
      </c>
      <c r="I237" t="s">
        <v>81</v>
      </c>
      <c r="J237" t="s">
        <v>37</v>
      </c>
      <c r="K237" t="s">
        <v>32</v>
      </c>
      <c r="L237" t="s">
        <v>24</v>
      </c>
      <c r="M237" t="s">
        <v>25</v>
      </c>
      <c r="N237" t="s">
        <v>26</v>
      </c>
      <c r="O237">
        <v>5000</v>
      </c>
      <c r="P237" t="s">
        <v>18</v>
      </c>
      <c r="Q237" t="s">
        <v>883</v>
      </c>
      <c r="R237">
        <v>2023</v>
      </c>
      <c r="S237">
        <v>4</v>
      </c>
    </row>
    <row r="238" spans="1:19" x14ac:dyDescent="0.25">
      <c r="A238" t="s">
        <v>511</v>
      </c>
      <c r="B238" t="s">
        <v>512</v>
      </c>
      <c r="C238" t="s">
        <v>44</v>
      </c>
      <c r="D238" t="s">
        <v>18</v>
      </c>
      <c r="E238" t="s">
        <v>75</v>
      </c>
      <c r="F238" t="s">
        <v>31</v>
      </c>
      <c r="G238" s="11">
        <v>45460</v>
      </c>
      <c r="H238" s="12">
        <v>45280</v>
      </c>
      <c r="I238" t="s">
        <v>81</v>
      </c>
      <c r="J238" t="s">
        <v>22</v>
      </c>
      <c r="K238" t="s">
        <v>32</v>
      </c>
      <c r="L238" t="s">
        <v>191</v>
      </c>
      <c r="M238" t="s">
        <v>40</v>
      </c>
      <c r="N238" t="s">
        <v>26</v>
      </c>
      <c r="O238">
        <v>5000</v>
      </c>
      <c r="P238" t="s">
        <v>18</v>
      </c>
      <c r="Q238" t="s">
        <v>883</v>
      </c>
      <c r="R238">
        <v>2023</v>
      </c>
      <c r="S238">
        <v>4</v>
      </c>
    </row>
    <row r="239" spans="1:19" x14ac:dyDescent="0.25">
      <c r="A239" t="s">
        <v>513</v>
      </c>
      <c r="B239" t="s">
        <v>514</v>
      </c>
      <c r="C239" t="s">
        <v>44</v>
      </c>
      <c r="D239" t="s">
        <v>18</v>
      </c>
      <c r="E239" t="s">
        <v>75</v>
      </c>
      <c r="F239" t="s">
        <v>31</v>
      </c>
      <c r="G239" s="11">
        <v>45460</v>
      </c>
      <c r="H239" s="12">
        <v>45280</v>
      </c>
      <c r="I239" t="s">
        <v>81</v>
      </c>
      <c r="J239" t="s">
        <v>22</v>
      </c>
      <c r="K239" t="s">
        <v>32</v>
      </c>
      <c r="L239" t="s">
        <v>220</v>
      </c>
      <c r="M239" t="s">
        <v>25</v>
      </c>
      <c r="N239" t="s">
        <v>26</v>
      </c>
      <c r="O239">
        <v>5000</v>
      </c>
      <c r="P239" t="s">
        <v>18</v>
      </c>
      <c r="Q239" t="s">
        <v>883</v>
      </c>
      <c r="R239">
        <v>2023</v>
      </c>
      <c r="S239">
        <v>4</v>
      </c>
    </row>
    <row r="240" spans="1:19" x14ac:dyDescent="0.25">
      <c r="A240" t="s">
        <v>515</v>
      </c>
      <c r="B240" t="s">
        <v>516</v>
      </c>
      <c r="C240" t="s">
        <v>44</v>
      </c>
      <c r="D240" t="s">
        <v>18</v>
      </c>
      <c r="E240" t="s">
        <v>75</v>
      </c>
      <c r="F240" t="s">
        <v>31</v>
      </c>
      <c r="G240" s="11">
        <v>45460</v>
      </c>
      <c r="H240" s="12">
        <v>45280</v>
      </c>
      <c r="I240" t="s">
        <v>81</v>
      </c>
      <c r="J240" t="s">
        <v>37</v>
      </c>
      <c r="K240" t="s">
        <v>517</v>
      </c>
      <c r="L240" t="s">
        <v>518</v>
      </c>
      <c r="M240" t="s">
        <v>47</v>
      </c>
      <c r="N240" t="s">
        <v>26</v>
      </c>
      <c r="O240">
        <v>5000</v>
      </c>
      <c r="P240" t="s">
        <v>18</v>
      </c>
      <c r="Q240" t="s">
        <v>883</v>
      </c>
      <c r="R240">
        <v>2023</v>
      </c>
      <c r="S240">
        <v>4</v>
      </c>
    </row>
    <row r="241" spans="1:19" x14ac:dyDescent="0.25">
      <c r="A241" t="s">
        <v>519</v>
      </c>
      <c r="B241" t="s">
        <v>520</v>
      </c>
      <c r="C241" t="s">
        <v>44</v>
      </c>
      <c r="D241" t="s">
        <v>18</v>
      </c>
      <c r="E241" t="s">
        <v>75</v>
      </c>
      <c r="F241" t="s">
        <v>31</v>
      </c>
      <c r="G241" s="11">
        <v>45460</v>
      </c>
      <c r="H241" s="12">
        <v>45280</v>
      </c>
      <c r="I241" t="s">
        <v>21</v>
      </c>
      <c r="J241" t="s">
        <v>22</v>
      </c>
      <c r="K241" t="s">
        <v>58</v>
      </c>
      <c r="L241" t="s">
        <v>96</v>
      </c>
      <c r="M241" t="s">
        <v>47</v>
      </c>
      <c r="N241" t="s">
        <v>26</v>
      </c>
      <c r="O241">
        <v>5000</v>
      </c>
      <c r="P241" t="s">
        <v>18</v>
      </c>
      <c r="Q241" t="s">
        <v>883</v>
      </c>
      <c r="R241">
        <v>2023</v>
      </c>
      <c r="S241">
        <v>4</v>
      </c>
    </row>
    <row r="242" spans="1:19" x14ac:dyDescent="0.25">
      <c r="A242" t="s">
        <v>521</v>
      </c>
      <c r="B242" t="s">
        <v>522</v>
      </c>
      <c r="C242" t="s">
        <v>36</v>
      </c>
      <c r="D242" t="s">
        <v>18</v>
      </c>
      <c r="E242" t="s">
        <v>75</v>
      </c>
      <c r="F242" t="s">
        <v>31</v>
      </c>
      <c r="G242" s="11">
        <v>45460</v>
      </c>
      <c r="H242" s="12">
        <v>45280</v>
      </c>
      <c r="I242" t="s">
        <v>81</v>
      </c>
      <c r="J242" t="s">
        <v>37</v>
      </c>
      <c r="K242" t="s">
        <v>58</v>
      </c>
      <c r="L242" t="s">
        <v>24</v>
      </c>
      <c r="M242" t="s">
        <v>25</v>
      </c>
      <c r="N242" t="s">
        <v>26</v>
      </c>
      <c r="O242">
        <v>5000</v>
      </c>
      <c r="P242" t="s">
        <v>18</v>
      </c>
      <c r="Q242" t="s">
        <v>883</v>
      </c>
      <c r="R242">
        <v>2023</v>
      </c>
      <c r="S242">
        <v>4</v>
      </c>
    </row>
    <row r="243" spans="1:19" x14ac:dyDescent="0.25">
      <c r="A243" t="s">
        <v>523</v>
      </c>
      <c r="B243" t="s">
        <v>524</v>
      </c>
      <c r="C243" t="s">
        <v>44</v>
      </c>
      <c r="D243" t="s">
        <v>18</v>
      </c>
      <c r="E243" t="s">
        <v>75</v>
      </c>
      <c r="F243" t="s">
        <v>31</v>
      </c>
      <c r="G243" s="11">
        <v>45460</v>
      </c>
      <c r="H243" s="12">
        <v>45280</v>
      </c>
      <c r="I243" t="s">
        <v>81</v>
      </c>
      <c r="J243" t="s">
        <v>22</v>
      </c>
      <c r="K243" t="s">
        <v>58</v>
      </c>
      <c r="L243" t="s">
        <v>24</v>
      </c>
      <c r="M243" t="s">
        <v>25</v>
      </c>
      <c r="N243" t="s">
        <v>26</v>
      </c>
      <c r="O243">
        <v>5000</v>
      </c>
      <c r="P243" t="s">
        <v>18</v>
      </c>
      <c r="Q243" t="s">
        <v>883</v>
      </c>
      <c r="R243">
        <v>2023</v>
      </c>
      <c r="S243">
        <v>4</v>
      </c>
    </row>
    <row r="244" spans="1:19" x14ac:dyDescent="0.25">
      <c r="A244" t="s">
        <v>525</v>
      </c>
      <c r="B244" t="s">
        <v>526</v>
      </c>
      <c r="C244" t="s">
        <v>17</v>
      </c>
      <c r="D244" t="s">
        <v>18</v>
      </c>
      <c r="E244" t="s">
        <v>75</v>
      </c>
      <c r="F244" t="s">
        <v>31</v>
      </c>
      <c r="G244" s="11">
        <v>45460</v>
      </c>
      <c r="H244" s="12">
        <v>45280</v>
      </c>
      <c r="I244" t="s">
        <v>81</v>
      </c>
      <c r="J244" t="s">
        <v>22</v>
      </c>
      <c r="K244" t="s">
        <v>115</v>
      </c>
      <c r="L244" t="s">
        <v>220</v>
      </c>
      <c r="M244" t="s">
        <v>25</v>
      </c>
      <c r="N244" t="s">
        <v>26</v>
      </c>
      <c r="O244">
        <v>5000</v>
      </c>
      <c r="P244" t="s">
        <v>18</v>
      </c>
      <c r="Q244" t="s">
        <v>883</v>
      </c>
      <c r="R244">
        <v>2023</v>
      </c>
      <c r="S244">
        <v>4</v>
      </c>
    </row>
    <row r="245" spans="1:19" x14ac:dyDescent="0.25">
      <c r="A245" t="s">
        <v>527</v>
      </c>
      <c r="B245" t="s">
        <v>528</v>
      </c>
      <c r="C245" t="s">
        <v>44</v>
      </c>
      <c r="D245" t="s">
        <v>18</v>
      </c>
      <c r="E245" t="s">
        <v>75</v>
      </c>
      <c r="F245" t="s">
        <v>31</v>
      </c>
      <c r="G245" s="11">
        <v>45460</v>
      </c>
      <c r="H245" s="12">
        <v>45280</v>
      </c>
      <c r="I245" t="s">
        <v>21</v>
      </c>
      <c r="J245" t="s">
        <v>22</v>
      </c>
      <c r="K245" t="s">
        <v>23</v>
      </c>
      <c r="L245" t="s">
        <v>96</v>
      </c>
      <c r="M245" t="s">
        <v>47</v>
      </c>
      <c r="N245" t="s">
        <v>26</v>
      </c>
      <c r="O245">
        <v>5000</v>
      </c>
      <c r="P245" t="s">
        <v>18</v>
      </c>
      <c r="Q245" t="s">
        <v>883</v>
      </c>
      <c r="R245">
        <v>2023</v>
      </c>
      <c r="S245">
        <v>4</v>
      </c>
    </row>
    <row r="246" spans="1:19" x14ac:dyDescent="0.25">
      <c r="A246" t="s">
        <v>529</v>
      </c>
      <c r="B246" t="s">
        <v>530</v>
      </c>
      <c r="C246" t="s">
        <v>44</v>
      </c>
      <c r="D246" t="s">
        <v>18</v>
      </c>
      <c r="E246" t="s">
        <v>75</v>
      </c>
      <c r="F246" t="s">
        <v>31</v>
      </c>
      <c r="G246" s="11">
        <v>45461</v>
      </c>
      <c r="H246" s="12">
        <v>45281</v>
      </c>
      <c r="I246" t="s">
        <v>21</v>
      </c>
      <c r="J246" t="s">
        <v>22</v>
      </c>
      <c r="K246" t="s">
        <v>38</v>
      </c>
      <c r="L246" t="s">
        <v>24</v>
      </c>
      <c r="M246" t="s">
        <v>25</v>
      </c>
      <c r="N246" t="s">
        <v>26</v>
      </c>
      <c r="O246">
        <v>5000</v>
      </c>
      <c r="P246" t="s">
        <v>18</v>
      </c>
      <c r="Q246" t="s">
        <v>883</v>
      </c>
      <c r="R246">
        <v>2023</v>
      </c>
      <c r="S246">
        <v>4</v>
      </c>
    </row>
    <row r="247" spans="1:19" x14ac:dyDescent="0.25">
      <c r="A247" t="s">
        <v>531</v>
      </c>
      <c r="B247" t="s">
        <v>532</v>
      </c>
      <c r="C247" t="s">
        <v>36</v>
      </c>
      <c r="D247" t="s">
        <v>18</v>
      </c>
      <c r="E247" t="s">
        <v>75</v>
      </c>
      <c r="F247" t="s">
        <v>31</v>
      </c>
      <c r="G247" s="11">
        <v>45461</v>
      </c>
      <c r="H247" s="12">
        <v>45281</v>
      </c>
      <c r="I247" t="s">
        <v>81</v>
      </c>
      <c r="J247" t="s">
        <v>22</v>
      </c>
      <c r="K247" t="s">
        <v>58</v>
      </c>
      <c r="L247" t="s">
        <v>96</v>
      </c>
      <c r="M247" t="s">
        <v>47</v>
      </c>
      <c r="N247" t="s">
        <v>26</v>
      </c>
      <c r="O247">
        <v>5000</v>
      </c>
      <c r="P247" t="s">
        <v>18</v>
      </c>
      <c r="Q247" t="s">
        <v>883</v>
      </c>
      <c r="R247">
        <v>2023</v>
      </c>
      <c r="S247">
        <v>4</v>
      </c>
    </row>
    <row r="248" spans="1:19" x14ac:dyDescent="0.25">
      <c r="A248" t="s">
        <v>533</v>
      </c>
      <c r="B248" t="s">
        <v>534</v>
      </c>
      <c r="C248" t="s">
        <v>44</v>
      </c>
      <c r="D248" t="s">
        <v>18</v>
      </c>
      <c r="E248" t="s">
        <v>75</v>
      </c>
      <c r="F248" t="s">
        <v>31</v>
      </c>
      <c r="G248" s="11">
        <v>45461</v>
      </c>
      <c r="H248" s="12">
        <v>45281</v>
      </c>
      <c r="I248" t="s">
        <v>81</v>
      </c>
      <c r="J248" t="s">
        <v>22</v>
      </c>
      <c r="K248" t="s">
        <v>38</v>
      </c>
      <c r="L248" t="s">
        <v>96</v>
      </c>
      <c r="M248" t="s">
        <v>47</v>
      </c>
      <c r="N248" t="s">
        <v>26</v>
      </c>
      <c r="O248">
        <v>5000</v>
      </c>
      <c r="P248" t="s">
        <v>18</v>
      </c>
      <c r="Q248" t="s">
        <v>883</v>
      </c>
      <c r="R248">
        <v>2023</v>
      </c>
      <c r="S248">
        <v>4</v>
      </c>
    </row>
    <row r="249" spans="1:19" x14ac:dyDescent="0.25">
      <c r="A249" t="s">
        <v>535</v>
      </c>
      <c r="B249" t="s">
        <v>536</v>
      </c>
      <c r="C249" t="s">
        <v>44</v>
      </c>
      <c r="D249" t="s">
        <v>18</v>
      </c>
      <c r="E249" t="s">
        <v>75</v>
      </c>
      <c r="F249" t="s">
        <v>31</v>
      </c>
      <c r="G249" s="11">
        <v>45461</v>
      </c>
      <c r="H249" s="12">
        <v>45281</v>
      </c>
      <c r="I249" t="s">
        <v>21</v>
      </c>
      <c r="J249" t="s">
        <v>22</v>
      </c>
      <c r="K249" t="s">
        <v>23</v>
      </c>
      <c r="L249" t="s">
        <v>39</v>
      </c>
      <c r="M249" t="s">
        <v>40</v>
      </c>
      <c r="N249" t="s">
        <v>26</v>
      </c>
      <c r="O249">
        <v>5000</v>
      </c>
      <c r="P249" t="s">
        <v>18</v>
      </c>
      <c r="Q249" t="s">
        <v>883</v>
      </c>
      <c r="R249">
        <v>2023</v>
      </c>
      <c r="S249">
        <v>4</v>
      </c>
    </row>
    <row r="250" spans="1:19" x14ac:dyDescent="0.25">
      <c r="A250" t="s">
        <v>537</v>
      </c>
      <c r="B250" t="s">
        <v>538</v>
      </c>
      <c r="C250" t="s">
        <v>17</v>
      </c>
      <c r="D250" t="s">
        <v>18</v>
      </c>
      <c r="E250" t="s">
        <v>75</v>
      </c>
      <c r="F250" t="s">
        <v>31</v>
      </c>
      <c r="G250" s="11">
        <v>45461</v>
      </c>
      <c r="H250" s="12">
        <v>45281</v>
      </c>
      <c r="I250" t="s">
        <v>81</v>
      </c>
      <c r="J250" t="s">
        <v>22</v>
      </c>
      <c r="K250" t="s">
        <v>32</v>
      </c>
      <c r="L250" t="s">
        <v>220</v>
      </c>
      <c r="M250" t="s">
        <v>25</v>
      </c>
      <c r="N250" t="s">
        <v>26</v>
      </c>
      <c r="O250">
        <v>5000</v>
      </c>
      <c r="P250" t="s">
        <v>18</v>
      </c>
      <c r="Q250" t="s">
        <v>883</v>
      </c>
      <c r="R250">
        <v>2023</v>
      </c>
      <c r="S250">
        <v>4</v>
      </c>
    </row>
    <row r="251" spans="1:19" x14ac:dyDescent="0.25">
      <c r="A251" t="s">
        <v>539</v>
      </c>
      <c r="B251" t="s">
        <v>540</v>
      </c>
      <c r="C251" t="s">
        <v>36</v>
      </c>
      <c r="D251" t="s">
        <v>18</v>
      </c>
      <c r="E251" t="s">
        <v>75</v>
      </c>
      <c r="F251" t="s">
        <v>31</v>
      </c>
      <c r="G251" s="11">
        <v>45461</v>
      </c>
      <c r="H251" s="12">
        <v>45281</v>
      </c>
      <c r="I251" t="s">
        <v>81</v>
      </c>
      <c r="J251" t="s">
        <v>22</v>
      </c>
      <c r="K251" t="s">
        <v>23</v>
      </c>
      <c r="L251" t="s">
        <v>124</v>
      </c>
      <c r="M251" t="s">
        <v>47</v>
      </c>
      <c r="N251" t="s">
        <v>26</v>
      </c>
      <c r="O251">
        <v>5000</v>
      </c>
      <c r="P251" t="s">
        <v>18</v>
      </c>
      <c r="Q251" t="s">
        <v>883</v>
      </c>
      <c r="R251">
        <v>2023</v>
      </c>
      <c r="S251">
        <v>4</v>
      </c>
    </row>
    <row r="252" spans="1:19" x14ac:dyDescent="0.25">
      <c r="A252" t="s">
        <v>541</v>
      </c>
      <c r="B252" t="s">
        <v>542</v>
      </c>
      <c r="C252" t="s">
        <v>44</v>
      </c>
      <c r="D252" t="s">
        <v>18</v>
      </c>
      <c r="E252" t="s">
        <v>75</v>
      </c>
      <c r="F252" t="s">
        <v>31</v>
      </c>
      <c r="G252" s="11">
        <v>45461</v>
      </c>
      <c r="H252" s="12">
        <v>45281</v>
      </c>
      <c r="I252" t="s">
        <v>21</v>
      </c>
      <c r="J252" t="s">
        <v>22</v>
      </c>
      <c r="K252" t="s">
        <v>115</v>
      </c>
      <c r="L252" t="s">
        <v>96</v>
      </c>
      <c r="M252" t="s">
        <v>47</v>
      </c>
      <c r="N252" t="s">
        <v>26</v>
      </c>
      <c r="O252">
        <v>5000</v>
      </c>
      <c r="P252" t="s">
        <v>18</v>
      </c>
      <c r="Q252" t="s">
        <v>883</v>
      </c>
      <c r="R252">
        <v>2023</v>
      </c>
      <c r="S252">
        <v>4</v>
      </c>
    </row>
    <row r="253" spans="1:19" x14ac:dyDescent="0.25">
      <c r="A253" t="s">
        <v>543</v>
      </c>
      <c r="B253" t="s">
        <v>544</v>
      </c>
      <c r="C253" t="s">
        <v>44</v>
      </c>
      <c r="D253" t="s">
        <v>18</v>
      </c>
      <c r="E253" t="s">
        <v>75</v>
      </c>
      <c r="F253" t="s">
        <v>31</v>
      </c>
      <c r="G253" s="11">
        <v>45461</v>
      </c>
      <c r="H253" s="12">
        <v>45281</v>
      </c>
      <c r="I253" t="s">
        <v>21</v>
      </c>
      <c r="J253" t="s">
        <v>22</v>
      </c>
      <c r="K253" t="s">
        <v>23</v>
      </c>
      <c r="L253" t="s">
        <v>96</v>
      </c>
      <c r="M253" t="s">
        <v>47</v>
      </c>
      <c r="N253" t="s">
        <v>26</v>
      </c>
      <c r="O253">
        <v>5000</v>
      </c>
      <c r="P253" t="s">
        <v>18</v>
      </c>
      <c r="Q253" t="s">
        <v>883</v>
      </c>
      <c r="R253">
        <v>2023</v>
      </c>
      <c r="S253">
        <v>4</v>
      </c>
    </row>
    <row r="254" spans="1:19" x14ac:dyDescent="0.25">
      <c r="A254" t="s">
        <v>545</v>
      </c>
      <c r="B254" t="s">
        <v>546</v>
      </c>
      <c r="C254" t="s">
        <v>44</v>
      </c>
      <c r="D254" t="s">
        <v>18</v>
      </c>
      <c r="E254" t="s">
        <v>75</v>
      </c>
      <c r="F254" t="s">
        <v>31</v>
      </c>
      <c r="G254" s="11">
        <v>45463</v>
      </c>
      <c r="H254" s="12">
        <v>45283</v>
      </c>
      <c r="I254" t="s">
        <v>81</v>
      </c>
      <c r="J254" t="s">
        <v>22</v>
      </c>
      <c r="K254" t="s">
        <v>32</v>
      </c>
      <c r="L254" t="s">
        <v>124</v>
      </c>
      <c r="M254" t="s">
        <v>47</v>
      </c>
      <c r="N254" t="s">
        <v>26</v>
      </c>
      <c r="O254">
        <v>5000</v>
      </c>
      <c r="P254" t="s">
        <v>18</v>
      </c>
      <c r="Q254" t="s">
        <v>883</v>
      </c>
      <c r="R254">
        <v>2023</v>
      </c>
      <c r="S254">
        <v>4</v>
      </c>
    </row>
    <row r="255" spans="1:19" x14ac:dyDescent="0.25">
      <c r="A255" t="s">
        <v>547</v>
      </c>
      <c r="B255" t="s">
        <v>548</v>
      </c>
      <c r="C255" t="s">
        <v>44</v>
      </c>
      <c r="D255" t="s">
        <v>18</v>
      </c>
      <c r="E255" t="s">
        <v>75</v>
      </c>
      <c r="F255" t="s">
        <v>31</v>
      </c>
      <c r="G255" s="11">
        <v>45463</v>
      </c>
      <c r="H255" s="12">
        <v>45283</v>
      </c>
      <c r="I255" t="s">
        <v>81</v>
      </c>
      <c r="J255" t="s">
        <v>37</v>
      </c>
      <c r="K255" t="s">
        <v>58</v>
      </c>
      <c r="L255" t="s">
        <v>24</v>
      </c>
      <c r="M255" t="s">
        <v>25</v>
      </c>
      <c r="N255" t="s">
        <v>26</v>
      </c>
      <c r="O255">
        <v>5000</v>
      </c>
      <c r="P255" t="s">
        <v>18</v>
      </c>
      <c r="Q255" t="s">
        <v>883</v>
      </c>
      <c r="R255">
        <v>2023</v>
      </c>
      <c r="S255">
        <v>4</v>
      </c>
    </row>
    <row r="256" spans="1:19" x14ac:dyDescent="0.25">
      <c r="A256" t="s">
        <v>549</v>
      </c>
      <c r="B256" t="s">
        <v>550</v>
      </c>
      <c r="C256" t="s">
        <v>36</v>
      </c>
      <c r="D256" t="s">
        <v>18</v>
      </c>
      <c r="E256" t="s">
        <v>75</v>
      </c>
      <c r="F256" t="s">
        <v>31</v>
      </c>
      <c r="G256" s="11">
        <v>45463</v>
      </c>
      <c r="H256" s="12">
        <v>45283</v>
      </c>
      <c r="I256" t="s">
        <v>21</v>
      </c>
      <c r="J256" t="s">
        <v>22</v>
      </c>
      <c r="K256" t="s">
        <v>32</v>
      </c>
      <c r="L256" t="s">
        <v>24</v>
      </c>
      <c r="M256" t="s">
        <v>25</v>
      </c>
      <c r="N256" t="s">
        <v>26</v>
      </c>
      <c r="O256">
        <v>5000</v>
      </c>
      <c r="P256" t="s">
        <v>18</v>
      </c>
      <c r="Q256" t="s">
        <v>883</v>
      </c>
      <c r="R256">
        <v>2023</v>
      </c>
      <c r="S256">
        <v>4</v>
      </c>
    </row>
    <row r="257" spans="1:19" x14ac:dyDescent="0.25">
      <c r="A257" t="s">
        <v>551</v>
      </c>
      <c r="B257" t="s">
        <v>552</v>
      </c>
      <c r="C257" t="s">
        <v>44</v>
      </c>
      <c r="D257" t="s">
        <v>18</v>
      </c>
      <c r="E257" t="s">
        <v>75</v>
      </c>
      <c r="F257" t="s">
        <v>31</v>
      </c>
      <c r="G257" s="11">
        <v>45463</v>
      </c>
      <c r="H257" s="12">
        <v>45283</v>
      </c>
      <c r="I257" t="s">
        <v>21</v>
      </c>
      <c r="J257" t="s">
        <v>37</v>
      </c>
      <c r="K257" t="s">
        <v>32</v>
      </c>
      <c r="L257" t="s">
        <v>24</v>
      </c>
      <c r="M257" t="s">
        <v>25</v>
      </c>
      <c r="N257" t="s">
        <v>26</v>
      </c>
      <c r="O257">
        <v>5000</v>
      </c>
      <c r="P257" t="s">
        <v>18</v>
      </c>
      <c r="Q257" t="s">
        <v>883</v>
      </c>
      <c r="R257">
        <v>2023</v>
      </c>
      <c r="S257">
        <v>4</v>
      </c>
    </row>
    <row r="258" spans="1:19" x14ac:dyDescent="0.25">
      <c r="A258" t="s">
        <v>553</v>
      </c>
      <c r="B258" t="s">
        <v>554</v>
      </c>
      <c r="C258" t="s">
        <v>17</v>
      </c>
      <c r="D258" t="s">
        <v>18</v>
      </c>
      <c r="E258" t="s">
        <v>75</v>
      </c>
      <c r="F258" t="s">
        <v>31</v>
      </c>
      <c r="G258" s="11">
        <v>45463</v>
      </c>
      <c r="H258" s="12">
        <v>45283</v>
      </c>
      <c r="I258" t="s">
        <v>21</v>
      </c>
      <c r="J258" t="s">
        <v>22</v>
      </c>
      <c r="K258" t="s">
        <v>38</v>
      </c>
      <c r="L258" t="s">
        <v>465</v>
      </c>
      <c r="M258" t="s">
        <v>51</v>
      </c>
      <c r="N258" t="s">
        <v>26</v>
      </c>
      <c r="O258">
        <v>5000</v>
      </c>
      <c r="P258" t="s">
        <v>18</v>
      </c>
      <c r="Q258" t="s">
        <v>883</v>
      </c>
      <c r="R258">
        <v>2023</v>
      </c>
      <c r="S258">
        <v>4</v>
      </c>
    </row>
    <row r="259" spans="1:19" x14ac:dyDescent="0.25">
      <c r="A259" t="s">
        <v>555</v>
      </c>
      <c r="B259" t="s">
        <v>556</v>
      </c>
      <c r="C259" t="s">
        <v>44</v>
      </c>
      <c r="D259" t="s">
        <v>202</v>
      </c>
      <c r="E259" t="s">
        <v>75</v>
      </c>
      <c r="F259" t="s">
        <v>31</v>
      </c>
      <c r="G259" s="11">
        <v>45463</v>
      </c>
      <c r="H259" s="12">
        <v>45283</v>
      </c>
      <c r="I259" t="s">
        <v>21</v>
      </c>
      <c r="J259" t="s">
        <v>37</v>
      </c>
      <c r="K259" t="s">
        <v>38</v>
      </c>
      <c r="L259" t="s">
        <v>24</v>
      </c>
      <c r="M259" t="s">
        <v>25</v>
      </c>
      <c r="N259" t="s">
        <v>26</v>
      </c>
      <c r="O259">
        <v>5000</v>
      </c>
      <c r="P259" t="s">
        <v>872</v>
      </c>
      <c r="Q259" t="s">
        <v>883</v>
      </c>
      <c r="R259">
        <v>2023</v>
      </c>
      <c r="S259">
        <v>4</v>
      </c>
    </row>
    <row r="260" spans="1:19" x14ac:dyDescent="0.25">
      <c r="A260" t="s">
        <v>557</v>
      </c>
      <c r="B260" t="s">
        <v>558</v>
      </c>
      <c r="C260" t="s">
        <v>205</v>
      </c>
      <c r="D260" t="s">
        <v>202</v>
      </c>
      <c r="E260" t="s">
        <v>75</v>
      </c>
      <c r="F260" t="s">
        <v>31</v>
      </c>
      <c r="G260" s="11">
        <v>45463</v>
      </c>
      <c r="H260" s="12">
        <v>45283</v>
      </c>
      <c r="I260" t="s">
        <v>21</v>
      </c>
      <c r="J260" t="s">
        <v>22</v>
      </c>
      <c r="K260" t="s">
        <v>38</v>
      </c>
      <c r="L260" t="s">
        <v>24</v>
      </c>
      <c r="M260" t="s">
        <v>25</v>
      </c>
      <c r="N260" t="s">
        <v>26</v>
      </c>
      <c r="O260">
        <v>5000</v>
      </c>
      <c r="P260" t="s">
        <v>872</v>
      </c>
      <c r="Q260" t="s">
        <v>883</v>
      </c>
      <c r="R260">
        <v>2023</v>
      </c>
      <c r="S260">
        <v>4</v>
      </c>
    </row>
    <row r="261" spans="1:19" x14ac:dyDescent="0.25">
      <c r="A261" t="s">
        <v>559</v>
      </c>
      <c r="B261" t="s">
        <v>560</v>
      </c>
      <c r="C261" t="s">
        <v>44</v>
      </c>
      <c r="D261" t="s">
        <v>18</v>
      </c>
      <c r="E261" t="s">
        <v>75</v>
      </c>
      <c r="F261" t="s">
        <v>31</v>
      </c>
      <c r="G261" s="11">
        <v>45463</v>
      </c>
      <c r="H261" s="12">
        <v>45283</v>
      </c>
      <c r="I261" t="s">
        <v>21</v>
      </c>
      <c r="J261" t="s">
        <v>22</v>
      </c>
      <c r="K261" t="s">
        <v>38</v>
      </c>
      <c r="L261" t="s">
        <v>220</v>
      </c>
      <c r="M261" t="s">
        <v>25</v>
      </c>
      <c r="N261" t="s">
        <v>26</v>
      </c>
      <c r="O261">
        <v>5000</v>
      </c>
      <c r="P261" t="s">
        <v>18</v>
      </c>
      <c r="Q261" t="s">
        <v>883</v>
      </c>
      <c r="R261">
        <v>2023</v>
      </c>
      <c r="S261">
        <v>4</v>
      </c>
    </row>
    <row r="262" spans="1:19" x14ac:dyDescent="0.25">
      <c r="A262" t="s">
        <v>561</v>
      </c>
      <c r="B262" t="s">
        <v>562</v>
      </c>
      <c r="C262" t="s">
        <v>44</v>
      </c>
      <c r="D262" t="s">
        <v>18</v>
      </c>
      <c r="E262" t="s">
        <v>75</v>
      </c>
      <c r="F262" t="s">
        <v>31</v>
      </c>
      <c r="G262" s="11">
        <v>45463</v>
      </c>
      <c r="H262" s="12">
        <v>45283</v>
      </c>
      <c r="I262" t="s">
        <v>21</v>
      </c>
      <c r="J262" t="s">
        <v>22</v>
      </c>
      <c r="K262" t="s">
        <v>23</v>
      </c>
      <c r="L262" t="s">
        <v>24</v>
      </c>
      <c r="M262" t="s">
        <v>25</v>
      </c>
      <c r="N262" t="s">
        <v>26</v>
      </c>
      <c r="O262">
        <v>5000</v>
      </c>
      <c r="P262" t="s">
        <v>18</v>
      </c>
      <c r="Q262" t="s">
        <v>883</v>
      </c>
      <c r="R262">
        <v>2023</v>
      </c>
      <c r="S262">
        <v>4</v>
      </c>
    </row>
    <row r="263" spans="1:19" x14ac:dyDescent="0.25">
      <c r="A263" t="s">
        <v>563</v>
      </c>
      <c r="B263" t="s">
        <v>564</v>
      </c>
      <c r="C263" t="s">
        <v>36</v>
      </c>
      <c r="D263" t="s">
        <v>18</v>
      </c>
      <c r="E263" t="s">
        <v>75</v>
      </c>
      <c r="F263" t="s">
        <v>31</v>
      </c>
      <c r="G263" s="11">
        <v>45463</v>
      </c>
      <c r="H263" s="12">
        <v>45283</v>
      </c>
      <c r="I263" t="s">
        <v>21</v>
      </c>
      <c r="J263" t="s">
        <v>22</v>
      </c>
      <c r="K263" t="s">
        <v>23</v>
      </c>
      <c r="L263" t="s">
        <v>69</v>
      </c>
      <c r="M263" t="s">
        <v>40</v>
      </c>
      <c r="N263" t="s">
        <v>26</v>
      </c>
      <c r="O263">
        <v>5000</v>
      </c>
      <c r="P263" t="s">
        <v>18</v>
      </c>
      <c r="Q263" t="s">
        <v>883</v>
      </c>
      <c r="R263">
        <v>2023</v>
      </c>
      <c r="S263">
        <v>4</v>
      </c>
    </row>
    <row r="264" spans="1:19" x14ac:dyDescent="0.25">
      <c r="A264" t="s">
        <v>565</v>
      </c>
      <c r="B264" t="s">
        <v>566</v>
      </c>
      <c r="C264" t="s">
        <v>36</v>
      </c>
      <c r="D264" t="s">
        <v>18</v>
      </c>
      <c r="E264" t="s">
        <v>75</v>
      </c>
      <c r="F264" t="s">
        <v>31</v>
      </c>
      <c r="G264" s="11">
        <v>45463</v>
      </c>
      <c r="H264" s="12">
        <v>45283</v>
      </c>
      <c r="I264" t="s">
        <v>21</v>
      </c>
      <c r="J264" t="s">
        <v>22</v>
      </c>
      <c r="K264" t="s">
        <v>58</v>
      </c>
      <c r="L264" t="s">
        <v>24</v>
      </c>
      <c r="M264" t="s">
        <v>25</v>
      </c>
      <c r="N264" t="s">
        <v>26</v>
      </c>
      <c r="O264">
        <v>5000</v>
      </c>
      <c r="P264" t="s">
        <v>18</v>
      </c>
      <c r="Q264" t="s">
        <v>883</v>
      </c>
      <c r="R264">
        <v>2023</v>
      </c>
      <c r="S264">
        <v>4</v>
      </c>
    </row>
    <row r="265" spans="1:19" x14ac:dyDescent="0.25">
      <c r="A265" t="s">
        <v>567</v>
      </c>
      <c r="B265" t="s">
        <v>568</v>
      </c>
      <c r="C265" t="s">
        <v>44</v>
      </c>
      <c r="D265" t="s">
        <v>18</v>
      </c>
      <c r="E265" t="s">
        <v>75</v>
      </c>
      <c r="F265" t="s">
        <v>31</v>
      </c>
      <c r="G265" s="11">
        <v>45464</v>
      </c>
      <c r="H265" s="12">
        <v>45284</v>
      </c>
      <c r="I265" t="s">
        <v>81</v>
      </c>
      <c r="J265" t="s">
        <v>37</v>
      </c>
      <c r="K265" t="s">
        <v>23</v>
      </c>
      <c r="L265" t="s">
        <v>96</v>
      </c>
      <c r="M265" t="s">
        <v>47</v>
      </c>
      <c r="N265" t="s">
        <v>26</v>
      </c>
      <c r="O265">
        <v>27000</v>
      </c>
      <c r="P265" t="s">
        <v>18</v>
      </c>
      <c r="Q265" t="s">
        <v>883</v>
      </c>
      <c r="R265">
        <v>2023</v>
      </c>
      <c r="S265">
        <v>4</v>
      </c>
    </row>
    <row r="266" spans="1:19" x14ac:dyDescent="0.25">
      <c r="A266" t="s">
        <v>569</v>
      </c>
      <c r="B266" t="s">
        <v>570</v>
      </c>
      <c r="C266" t="s">
        <v>36</v>
      </c>
      <c r="D266" t="s">
        <v>18</v>
      </c>
      <c r="E266" t="s">
        <v>75</v>
      </c>
      <c r="F266" t="s">
        <v>31</v>
      </c>
      <c r="G266" s="11">
        <v>45464</v>
      </c>
      <c r="H266" s="12">
        <v>45284</v>
      </c>
      <c r="I266" t="s">
        <v>21</v>
      </c>
      <c r="J266" t="s">
        <v>22</v>
      </c>
      <c r="K266" t="s">
        <v>38</v>
      </c>
      <c r="L266" t="s">
        <v>225</v>
      </c>
      <c r="M266" t="s">
        <v>47</v>
      </c>
      <c r="N266" t="s">
        <v>26</v>
      </c>
      <c r="O266">
        <v>27000</v>
      </c>
      <c r="P266" t="s">
        <v>18</v>
      </c>
      <c r="Q266" t="s">
        <v>883</v>
      </c>
      <c r="R266">
        <v>2023</v>
      </c>
      <c r="S266">
        <v>4</v>
      </c>
    </row>
    <row r="267" spans="1:19" x14ac:dyDescent="0.25">
      <c r="A267" t="s">
        <v>571</v>
      </c>
      <c r="B267" t="s">
        <v>572</v>
      </c>
      <c r="C267" t="s">
        <v>205</v>
      </c>
      <c r="D267" t="s">
        <v>18</v>
      </c>
      <c r="E267" t="s">
        <v>75</v>
      </c>
      <c r="F267" t="s">
        <v>31</v>
      </c>
      <c r="G267" s="11">
        <v>45464</v>
      </c>
      <c r="H267" s="12">
        <v>45284</v>
      </c>
      <c r="I267" t="s">
        <v>21</v>
      </c>
      <c r="J267" t="s">
        <v>22</v>
      </c>
      <c r="K267" t="s">
        <v>23</v>
      </c>
      <c r="L267" t="s">
        <v>24</v>
      </c>
      <c r="M267" t="s">
        <v>25</v>
      </c>
      <c r="N267" t="s">
        <v>26</v>
      </c>
      <c r="O267">
        <v>27000</v>
      </c>
      <c r="P267" t="s">
        <v>18</v>
      </c>
      <c r="Q267" t="s">
        <v>883</v>
      </c>
      <c r="R267">
        <v>2023</v>
      </c>
      <c r="S267">
        <v>4</v>
      </c>
    </row>
    <row r="268" spans="1:19" x14ac:dyDescent="0.25">
      <c r="A268" t="s">
        <v>573</v>
      </c>
      <c r="B268" t="s">
        <v>574</v>
      </c>
      <c r="C268" t="s">
        <v>44</v>
      </c>
      <c r="D268" t="s">
        <v>18</v>
      </c>
      <c r="E268" t="s">
        <v>75</v>
      </c>
      <c r="F268" t="s">
        <v>31</v>
      </c>
      <c r="G268" s="11">
        <v>45464</v>
      </c>
      <c r="H268" s="12">
        <v>45284</v>
      </c>
      <c r="I268" t="s">
        <v>21</v>
      </c>
      <c r="J268" t="s">
        <v>22</v>
      </c>
      <c r="K268" t="s">
        <v>32</v>
      </c>
      <c r="L268" t="s">
        <v>96</v>
      </c>
      <c r="M268" t="s">
        <v>47</v>
      </c>
      <c r="N268" t="s">
        <v>26</v>
      </c>
      <c r="O268">
        <v>27000</v>
      </c>
      <c r="P268" t="s">
        <v>18</v>
      </c>
      <c r="Q268" t="s">
        <v>883</v>
      </c>
      <c r="R268">
        <v>2023</v>
      </c>
      <c r="S268">
        <v>4</v>
      </c>
    </row>
    <row r="269" spans="1:19" x14ac:dyDescent="0.25">
      <c r="A269" t="s">
        <v>575</v>
      </c>
      <c r="B269" t="s">
        <v>576</v>
      </c>
      <c r="C269" t="s">
        <v>44</v>
      </c>
      <c r="D269" t="s">
        <v>18</v>
      </c>
      <c r="E269" t="s">
        <v>75</v>
      </c>
      <c r="F269" t="s">
        <v>31</v>
      </c>
      <c r="G269" s="11">
        <v>45464</v>
      </c>
      <c r="H269" s="12">
        <v>45284</v>
      </c>
      <c r="I269" t="s">
        <v>21</v>
      </c>
      <c r="J269" t="s">
        <v>37</v>
      </c>
      <c r="K269" t="s">
        <v>38</v>
      </c>
      <c r="L269" t="s">
        <v>124</v>
      </c>
      <c r="M269" t="s">
        <v>47</v>
      </c>
      <c r="N269" t="s">
        <v>26</v>
      </c>
      <c r="O269">
        <v>27000</v>
      </c>
      <c r="P269" t="s">
        <v>18</v>
      </c>
      <c r="Q269" t="s">
        <v>883</v>
      </c>
      <c r="R269">
        <v>2023</v>
      </c>
      <c r="S269">
        <v>4</v>
      </c>
    </row>
    <row r="270" spans="1:19" x14ac:dyDescent="0.25">
      <c r="A270" t="s">
        <v>577</v>
      </c>
      <c r="B270" t="s">
        <v>578</v>
      </c>
      <c r="C270" t="s">
        <v>579</v>
      </c>
      <c r="D270" t="s">
        <v>18</v>
      </c>
      <c r="E270" t="s">
        <v>75</v>
      </c>
      <c r="F270" t="s">
        <v>31</v>
      </c>
      <c r="G270" s="11">
        <v>45466</v>
      </c>
      <c r="H270" s="12">
        <v>45286</v>
      </c>
      <c r="I270" t="s">
        <v>21</v>
      </c>
      <c r="J270" t="s">
        <v>22</v>
      </c>
      <c r="K270" t="s">
        <v>23</v>
      </c>
      <c r="L270" t="s">
        <v>580</v>
      </c>
      <c r="M270" t="s">
        <v>47</v>
      </c>
      <c r="N270" t="s">
        <v>26</v>
      </c>
      <c r="O270">
        <v>27000</v>
      </c>
      <c r="P270" t="s">
        <v>18</v>
      </c>
      <c r="Q270" t="s">
        <v>883</v>
      </c>
      <c r="R270">
        <v>2023</v>
      </c>
      <c r="S270">
        <v>4</v>
      </c>
    </row>
    <row r="271" spans="1:19" x14ac:dyDescent="0.25">
      <c r="A271" t="s">
        <v>581</v>
      </c>
      <c r="B271" t="s">
        <v>582</v>
      </c>
      <c r="C271" t="s">
        <v>17</v>
      </c>
      <c r="D271" t="s">
        <v>18</v>
      </c>
      <c r="E271" t="s">
        <v>75</v>
      </c>
      <c r="F271" t="s">
        <v>31</v>
      </c>
      <c r="G271" s="11">
        <v>45466</v>
      </c>
      <c r="H271" s="12">
        <v>45286</v>
      </c>
      <c r="I271" t="s">
        <v>21</v>
      </c>
      <c r="J271" t="s">
        <v>22</v>
      </c>
      <c r="K271" t="s">
        <v>38</v>
      </c>
      <c r="L271" t="s">
        <v>24</v>
      </c>
      <c r="M271" t="s">
        <v>25</v>
      </c>
      <c r="N271" t="s">
        <v>26</v>
      </c>
      <c r="O271">
        <v>27000</v>
      </c>
      <c r="P271" t="s">
        <v>18</v>
      </c>
      <c r="Q271" t="s">
        <v>883</v>
      </c>
      <c r="R271">
        <v>2023</v>
      </c>
      <c r="S271">
        <v>4</v>
      </c>
    </row>
    <row r="272" spans="1:19" x14ac:dyDescent="0.25">
      <c r="A272" t="s">
        <v>583</v>
      </c>
      <c r="B272" t="s">
        <v>584</v>
      </c>
      <c r="C272" t="s">
        <v>17</v>
      </c>
      <c r="D272" t="s">
        <v>18</v>
      </c>
      <c r="E272" t="s">
        <v>75</v>
      </c>
      <c r="F272" t="s">
        <v>31</v>
      </c>
      <c r="G272" s="11">
        <v>45466</v>
      </c>
      <c r="H272" s="12">
        <v>45286</v>
      </c>
      <c r="I272" t="s">
        <v>21</v>
      </c>
      <c r="J272" t="s">
        <v>22</v>
      </c>
      <c r="K272" t="s">
        <v>32</v>
      </c>
      <c r="L272" t="s">
        <v>24</v>
      </c>
      <c r="M272" t="s">
        <v>25</v>
      </c>
      <c r="N272" t="s">
        <v>26</v>
      </c>
      <c r="O272">
        <v>27000</v>
      </c>
      <c r="P272" t="s">
        <v>18</v>
      </c>
      <c r="Q272" t="s">
        <v>883</v>
      </c>
      <c r="R272">
        <v>2023</v>
      </c>
      <c r="S272">
        <v>4</v>
      </c>
    </row>
    <row r="273" spans="1:19" x14ac:dyDescent="0.25">
      <c r="A273" t="s">
        <v>585</v>
      </c>
      <c r="B273" t="s">
        <v>586</v>
      </c>
      <c r="C273" t="s">
        <v>36</v>
      </c>
      <c r="D273" t="s">
        <v>199</v>
      </c>
      <c r="E273" t="s">
        <v>75</v>
      </c>
      <c r="F273" t="s">
        <v>31</v>
      </c>
      <c r="G273" s="11">
        <v>45466</v>
      </c>
      <c r="H273" s="12">
        <v>45286</v>
      </c>
      <c r="I273" t="s">
        <v>21</v>
      </c>
      <c r="J273" t="s">
        <v>22</v>
      </c>
      <c r="K273" t="s">
        <v>32</v>
      </c>
      <c r="L273" t="s">
        <v>24</v>
      </c>
      <c r="M273" t="s">
        <v>25</v>
      </c>
      <c r="N273" t="s">
        <v>26</v>
      </c>
      <c r="O273">
        <v>27000</v>
      </c>
      <c r="P273" t="s">
        <v>872</v>
      </c>
      <c r="Q273" t="s">
        <v>883</v>
      </c>
      <c r="R273">
        <v>2023</v>
      </c>
      <c r="S273">
        <v>4</v>
      </c>
    </row>
    <row r="274" spans="1:19" x14ac:dyDescent="0.25">
      <c r="A274" t="s">
        <v>587</v>
      </c>
      <c r="B274" t="s">
        <v>588</v>
      </c>
      <c r="C274" t="s">
        <v>44</v>
      </c>
      <c r="D274" t="s">
        <v>18</v>
      </c>
      <c r="E274" t="s">
        <v>75</v>
      </c>
      <c r="F274" t="s">
        <v>31</v>
      </c>
      <c r="G274" s="11">
        <v>45466</v>
      </c>
      <c r="H274" s="12">
        <v>45286</v>
      </c>
      <c r="I274" t="s">
        <v>21</v>
      </c>
      <c r="J274" t="s">
        <v>22</v>
      </c>
      <c r="K274" t="s">
        <v>23</v>
      </c>
      <c r="L274" t="s">
        <v>24</v>
      </c>
      <c r="M274" t="s">
        <v>25</v>
      </c>
      <c r="N274" t="s">
        <v>26</v>
      </c>
      <c r="O274">
        <v>27000</v>
      </c>
      <c r="P274" t="s">
        <v>18</v>
      </c>
      <c r="Q274" t="s">
        <v>883</v>
      </c>
      <c r="R274">
        <v>2023</v>
      </c>
      <c r="S274">
        <v>4</v>
      </c>
    </row>
    <row r="275" spans="1:19" x14ac:dyDescent="0.25">
      <c r="A275" t="s">
        <v>589</v>
      </c>
      <c r="B275" t="s">
        <v>193</v>
      </c>
      <c r="C275" t="s">
        <v>36</v>
      </c>
      <c r="D275" t="s">
        <v>202</v>
      </c>
      <c r="E275" t="s">
        <v>75</v>
      </c>
      <c r="F275" t="s">
        <v>31</v>
      </c>
      <c r="G275" s="11">
        <v>45466</v>
      </c>
      <c r="H275" s="12">
        <v>45286</v>
      </c>
      <c r="I275" t="s">
        <v>21</v>
      </c>
      <c r="J275" t="s">
        <v>22</v>
      </c>
      <c r="K275" t="s">
        <v>38</v>
      </c>
      <c r="L275" t="s">
        <v>24</v>
      </c>
      <c r="M275" t="s">
        <v>25</v>
      </c>
      <c r="N275" t="s">
        <v>26</v>
      </c>
      <c r="O275">
        <v>27000</v>
      </c>
      <c r="P275" t="s">
        <v>872</v>
      </c>
      <c r="Q275" t="s">
        <v>883</v>
      </c>
      <c r="R275">
        <v>2023</v>
      </c>
      <c r="S275">
        <v>4</v>
      </c>
    </row>
    <row r="276" spans="1:19" x14ac:dyDescent="0.25">
      <c r="A276" t="s">
        <v>590</v>
      </c>
      <c r="B276" t="s">
        <v>591</v>
      </c>
      <c r="C276" t="s">
        <v>36</v>
      </c>
      <c r="D276" t="s">
        <v>18</v>
      </c>
      <c r="E276" t="s">
        <v>75</v>
      </c>
      <c r="F276" t="s">
        <v>31</v>
      </c>
      <c r="G276" s="11">
        <v>45466</v>
      </c>
      <c r="H276" s="12">
        <v>45286</v>
      </c>
      <c r="I276" t="s">
        <v>81</v>
      </c>
      <c r="J276" t="s">
        <v>22</v>
      </c>
      <c r="K276" t="s">
        <v>23</v>
      </c>
      <c r="L276" t="s">
        <v>24</v>
      </c>
      <c r="M276" t="s">
        <v>25</v>
      </c>
      <c r="N276" t="s">
        <v>26</v>
      </c>
      <c r="O276">
        <v>27000</v>
      </c>
      <c r="P276" t="s">
        <v>18</v>
      </c>
      <c r="Q276" t="s">
        <v>883</v>
      </c>
      <c r="R276">
        <v>2023</v>
      </c>
      <c r="S276">
        <v>4</v>
      </c>
    </row>
    <row r="277" spans="1:19" x14ac:dyDescent="0.25">
      <c r="A277" t="s">
        <v>592</v>
      </c>
      <c r="B277" t="s">
        <v>593</v>
      </c>
      <c r="C277" t="s">
        <v>17</v>
      </c>
      <c r="D277" t="s">
        <v>18</v>
      </c>
      <c r="E277" t="s">
        <v>75</v>
      </c>
      <c r="F277" t="s">
        <v>31</v>
      </c>
      <c r="G277" s="11">
        <v>45466</v>
      </c>
      <c r="H277" s="12">
        <v>45286</v>
      </c>
      <c r="I277" t="s">
        <v>81</v>
      </c>
      <c r="J277" t="s">
        <v>22</v>
      </c>
      <c r="K277" t="s">
        <v>23</v>
      </c>
      <c r="L277" t="s">
        <v>24</v>
      </c>
      <c r="M277" t="s">
        <v>25</v>
      </c>
      <c r="N277" t="s">
        <v>26</v>
      </c>
      <c r="O277">
        <v>27000</v>
      </c>
      <c r="P277" t="s">
        <v>18</v>
      </c>
      <c r="Q277" t="s">
        <v>883</v>
      </c>
      <c r="R277">
        <v>2023</v>
      </c>
      <c r="S277">
        <v>4</v>
      </c>
    </row>
    <row r="278" spans="1:19" x14ac:dyDescent="0.25">
      <c r="A278" t="s">
        <v>594</v>
      </c>
      <c r="B278" t="s">
        <v>595</v>
      </c>
      <c r="C278" t="s">
        <v>44</v>
      </c>
      <c r="D278" t="s">
        <v>18</v>
      </c>
      <c r="E278" t="s">
        <v>75</v>
      </c>
      <c r="F278" t="s">
        <v>31</v>
      </c>
      <c r="G278" s="11">
        <v>45466</v>
      </c>
      <c r="H278" s="12">
        <v>45286</v>
      </c>
      <c r="I278" t="s">
        <v>81</v>
      </c>
      <c r="J278" t="s">
        <v>22</v>
      </c>
      <c r="K278" t="s">
        <v>23</v>
      </c>
      <c r="L278" t="s">
        <v>24</v>
      </c>
      <c r="M278" t="s">
        <v>25</v>
      </c>
      <c r="N278" t="s">
        <v>26</v>
      </c>
      <c r="O278">
        <v>27000</v>
      </c>
      <c r="P278" t="s">
        <v>18</v>
      </c>
      <c r="Q278" t="s">
        <v>883</v>
      </c>
      <c r="R278">
        <v>2023</v>
      </c>
      <c r="S278">
        <v>4</v>
      </c>
    </row>
    <row r="279" spans="1:19" x14ac:dyDescent="0.25">
      <c r="A279" t="s">
        <v>596</v>
      </c>
      <c r="B279" t="s">
        <v>597</v>
      </c>
      <c r="C279" t="s">
        <v>44</v>
      </c>
      <c r="D279" t="s">
        <v>18</v>
      </c>
      <c r="E279" t="s">
        <v>75</v>
      </c>
      <c r="F279" t="s">
        <v>31</v>
      </c>
      <c r="G279" s="11">
        <v>45466</v>
      </c>
      <c r="H279" s="12">
        <v>45286</v>
      </c>
      <c r="I279" t="s">
        <v>81</v>
      </c>
      <c r="J279" t="s">
        <v>22</v>
      </c>
      <c r="K279" t="s">
        <v>38</v>
      </c>
      <c r="L279" t="s">
        <v>24</v>
      </c>
      <c r="M279" t="s">
        <v>25</v>
      </c>
      <c r="N279" t="s">
        <v>26</v>
      </c>
      <c r="O279">
        <v>27000</v>
      </c>
      <c r="P279" t="s">
        <v>18</v>
      </c>
      <c r="Q279" t="s">
        <v>883</v>
      </c>
      <c r="R279">
        <v>2023</v>
      </c>
      <c r="S279">
        <v>4</v>
      </c>
    </row>
    <row r="280" spans="1:19" x14ac:dyDescent="0.25">
      <c r="A280" t="s">
        <v>598</v>
      </c>
      <c r="B280" t="s">
        <v>599</v>
      </c>
      <c r="C280" t="s">
        <v>36</v>
      </c>
      <c r="D280" t="s">
        <v>18</v>
      </c>
      <c r="E280" t="s">
        <v>75</v>
      </c>
      <c r="F280" t="s">
        <v>31</v>
      </c>
      <c r="G280" s="11">
        <v>45466</v>
      </c>
      <c r="H280" s="12">
        <v>45286</v>
      </c>
      <c r="I280" t="s">
        <v>81</v>
      </c>
      <c r="J280" t="s">
        <v>22</v>
      </c>
      <c r="K280" t="s">
        <v>32</v>
      </c>
      <c r="L280" t="s">
        <v>24</v>
      </c>
      <c r="M280" t="s">
        <v>25</v>
      </c>
      <c r="N280" t="s">
        <v>26</v>
      </c>
      <c r="O280">
        <v>27000</v>
      </c>
      <c r="P280" t="s">
        <v>18</v>
      </c>
      <c r="Q280" t="s">
        <v>883</v>
      </c>
      <c r="R280">
        <v>2023</v>
      </c>
      <c r="S280">
        <v>4</v>
      </c>
    </row>
    <row r="281" spans="1:19" x14ac:dyDescent="0.25">
      <c r="A281" t="s">
        <v>600</v>
      </c>
      <c r="B281" t="s">
        <v>601</v>
      </c>
      <c r="C281" t="s">
        <v>36</v>
      </c>
      <c r="D281" t="s">
        <v>18</v>
      </c>
      <c r="E281" t="s">
        <v>75</v>
      </c>
      <c r="F281" t="s">
        <v>31</v>
      </c>
      <c r="G281" s="11">
        <v>45466</v>
      </c>
      <c r="H281" s="12">
        <v>45286</v>
      </c>
      <c r="I281" t="s">
        <v>81</v>
      </c>
      <c r="J281" t="s">
        <v>22</v>
      </c>
      <c r="K281" t="s">
        <v>23</v>
      </c>
      <c r="L281" t="s">
        <v>24</v>
      </c>
      <c r="M281" t="s">
        <v>25</v>
      </c>
      <c r="N281" t="s">
        <v>26</v>
      </c>
      <c r="O281">
        <v>27000</v>
      </c>
      <c r="P281" t="s">
        <v>18</v>
      </c>
      <c r="Q281" t="s">
        <v>883</v>
      </c>
      <c r="R281">
        <v>2023</v>
      </c>
      <c r="S281">
        <v>4</v>
      </c>
    </row>
    <row r="282" spans="1:19" x14ac:dyDescent="0.25">
      <c r="A282" t="s">
        <v>602</v>
      </c>
      <c r="B282" t="s">
        <v>603</v>
      </c>
      <c r="C282" t="s">
        <v>29</v>
      </c>
      <c r="D282" t="s">
        <v>18</v>
      </c>
      <c r="E282" t="s">
        <v>75</v>
      </c>
      <c r="F282" t="s">
        <v>31</v>
      </c>
      <c r="G282" s="11">
        <v>45466</v>
      </c>
      <c r="H282" s="12">
        <v>45286</v>
      </c>
      <c r="I282" t="s">
        <v>81</v>
      </c>
      <c r="J282" t="s">
        <v>22</v>
      </c>
      <c r="K282" t="s">
        <v>141</v>
      </c>
      <c r="L282" t="s">
        <v>24</v>
      </c>
      <c r="M282" t="s">
        <v>25</v>
      </c>
      <c r="N282" t="s">
        <v>26</v>
      </c>
      <c r="O282">
        <v>27000</v>
      </c>
      <c r="P282" t="s">
        <v>18</v>
      </c>
      <c r="Q282" t="s">
        <v>883</v>
      </c>
      <c r="R282">
        <v>2023</v>
      </c>
      <c r="S282">
        <v>4</v>
      </c>
    </row>
    <row r="283" spans="1:19" x14ac:dyDescent="0.25">
      <c r="A283" t="s">
        <v>604</v>
      </c>
      <c r="B283" t="s">
        <v>605</v>
      </c>
      <c r="C283" t="s">
        <v>36</v>
      </c>
      <c r="D283" t="s">
        <v>18</v>
      </c>
      <c r="E283" t="s">
        <v>75</v>
      </c>
      <c r="F283" t="s">
        <v>31</v>
      </c>
      <c r="G283" s="11">
        <v>45466</v>
      </c>
      <c r="H283" s="12">
        <v>45286</v>
      </c>
      <c r="I283" t="s">
        <v>21</v>
      </c>
      <c r="J283" t="s">
        <v>22</v>
      </c>
      <c r="K283" t="s">
        <v>38</v>
      </c>
      <c r="L283" t="s">
        <v>24</v>
      </c>
      <c r="M283" t="s">
        <v>25</v>
      </c>
      <c r="N283" t="s">
        <v>26</v>
      </c>
      <c r="O283">
        <v>27000</v>
      </c>
      <c r="P283" t="s">
        <v>18</v>
      </c>
      <c r="Q283" t="s">
        <v>883</v>
      </c>
      <c r="R283">
        <v>2023</v>
      </c>
      <c r="S283">
        <v>4</v>
      </c>
    </row>
    <row r="284" spans="1:19" x14ac:dyDescent="0.25">
      <c r="A284" t="s">
        <v>606</v>
      </c>
      <c r="B284" t="s">
        <v>607</v>
      </c>
      <c r="C284" t="s">
        <v>44</v>
      </c>
      <c r="D284" t="s">
        <v>202</v>
      </c>
      <c r="E284" t="s">
        <v>75</v>
      </c>
      <c r="F284" t="s">
        <v>31</v>
      </c>
      <c r="G284" s="11">
        <v>45466</v>
      </c>
      <c r="H284" s="12">
        <v>45286</v>
      </c>
      <c r="I284" t="s">
        <v>81</v>
      </c>
      <c r="J284" t="s">
        <v>22</v>
      </c>
      <c r="K284" t="s">
        <v>38</v>
      </c>
      <c r="L284" t="s">
        <v>24</v>
      </c>
      <c r="M284" t="s">
        <v>25</v>
      </c>
      <c r="N284" t="s">
        <v>26</v>
      </c>
      <c r="O284">
        <v>27000</v>
      </c>
      <c r="P284" t="s">
        <v>872</v>
      </c>
      <c r="Q284" t="s">
        <v>883</v>
      </c>
      <c r="R284">
        <v>2023</v>
      </c>
      <c r="S284">
        <v>4</v>
      </c>
    </row>
    <row r="285" spans="1:19" x14ac:dyDescent="0.25">
      <c r="A285" t="s">
        <v>608</v>
      </c>
      <c r="B285" t="s">
        <v>314</v>
      </c>
      <c r="C285" t="s">
        <v>44</v>
      </c>
      <c r="D285" t="s">
        <v>18</v>
      </c>
      <c r="E285" t="s">
        <v>75</v>
      </c>
      <c r="F285" t="s">
        <v>31</v>
      </c>
      <c r="G285" s="11">
        <v>45466</v>
      </c>
      <c r="H285" s="12">
        <v>45286</v>
      </c>
      <c r="I285" t="s">
        <v>21</v>
      </c>
      <c r="J285" t="s">
        <v>22</v>
      </c>
      <c r="K285" t="s">
        <v>32</v>
      </c>
      <c r="L285" t="s">
        <v>96</v>
      </c>
      <c r="M285" t="s">
        <v>47</v>
      </c>
      <c r="N285" t="s">
        <v>26</v>
      </c>
      <c r="O285">
        <v>27000</v>
      </c>
      <c r="P285" t="s">
        <v>18</v>
      </c>
      <c r="Q285" t="s">
        <v>883</v>
      </c>
      <c r="R285">
        <v>2023</v>
      </c>
      <c r="S285">
        <v>4</v>
      </c>
    </row>
    <row r="286" spans="1:19" x14ac:dyDescent="0.25">
      <c r="A286" t="s">
        <v>609</v>
      </c>
      <c r="B286" t="s">
        <v>610</v>
      </c>
      <c r="C286" t="s">
        <v>36</v>
      </c>
      <c r="D286" t="s">
        <v>18</v>
      </c>
      <c r="E286" t="s">
        <v>75</v>
      </c>
      <c r="F286" t="s">
        <v>31</v>
      </c>
      <c r="G286" s="11">
        <v>45466</v>
      </c>
      <c r="H286" s="12">
        <v>45286</v>
      </c>
      <c r="I286" t="s">
        <v>21</v>
      </c>
      <c r="J286" t="s">
        <v>22</v>
      </c>
      <c r="K286" t="s">
        <v>23</v>
      </c>
      <c r="L286" t="s">
        <v>96</v>
      </c>
      <c r="M286" t="s">
        <v>47</v>
      </c>
      <c r="N286" t="s">
        <v>26</v>
      </c>
      <c r="O286">
        <v>27000</v>
      </c>
      <c r="P286" t="s">
        <v>18</v>
      </c>
      <c r="Q286" t="s">
        <v>883</v>
      </c>
      <c r="R286">
        <v>2023</v>
      </c>
      <c r="S286">
        <v>4</v>
      </c>
    </row>
    <row r="287" spans="1:19" x14ac:dyDescent="0.25">
      <c r="A287" t="s">
        <v>611</v>
      </c>
      <c r="B287" t="s">
        <v>612</v>
      </c>
      <c r="C287" t="s">
        <v>205</v>
      </c>
      <c r="D287" t="s">
        <v>18</v>
      </c>
      <c r="E287" t="s">
        <v>75</v>
      </c>
      <c r="F287" t="s">
        <v>31</v>
      </c>
      <c r="G287" s="11">
        <v>45467</v>
      </c>
      <c r="H287" s="12">
        <v>45287</v>
      </c>
      <c r="I287" t="s">
        <v>21</v>
      </c>
      <c r="J287" t="s">
        <v>22</v>
      </c>
      <c r="K287" t="s">
        <v>148</v>
      </c>
      <c r="L287" t="s">
        <v>24</v>
      </c>
      <c r="M287" t="s">
        <v>25</v>
      </c>
      <c r="N287" t="s">
        <v>26</v>
      </c>
      <c r="O287">
        <v>27000</v>
      </c>
      <c r="P287" t="s">
        <v>18</v>
      </c>
      <c r="Q287" t="s">
        <v>883</v>
      </c>
      <c r="R287">
        <v>2023</v>
      </c>
      <c r="S287">
        <v>4</v>
      </c>
    </row>
    <row r="288" spans="1:19" x14ac:dyDescent="0.25">
      <c r="A288" t="s">
        <v>613</v>
      </c>
      <c r="B288" t="s">
        <v>614</v>
      </c>
      <c r="C288" t="s">
        <v>17</v>
      </c>
      <c r="D288" t="s">
        <v>18</v>
      </c>
      <c r="E288" t="s">
        <v>75</v>
      </c>
      <c r="F288" t="s">
        <v>31</v>
      </c>
      <c r="G288" s="11">
        <v>45467</v>
      </c>
      <c r="H288" s="12">
        <v>45287</v>
      </c>
      <c r="I288" t="s">
        <v>21</v>
      </c>
      <c r="J288" t="s">
        <v>22</v>
      </c>
      <c r="K288" t="s">
        <v>115</v>
      </c>
      <c r="L288" t="s">
        <v>290</v>
      </c>
      <c r="M288" t="s">
        <v>47</v>
      </c>
      <c r="N288" t="s">
        <v>26</v>
      </c>
      <c r="O288">
        <v>27000</v>
      </c>
      <c r="P288" t="s">
        <v>18</v>
      </c>
      <c r="Q288" t="s">
        <v>883</v>
      </c>
      <c r="R288">
        <v>2023</v>
      </c>
      <c r="S288">
        <v>4</v>
      </c>
    </row>
    <row r="289" spans="1:19" x14ac:dyDescent="0.25">
      <c r="A289" t="s">
        <v>615</v>
      </c>
      <c r="B289" t="s">
        <v>616</v>
      </c>
      <c r="C289" t="s">
        <v>17</v>
      </c>
      <c r="D289" t="s">
        <v>18</v>
      </c>
      <c r="E289" t="s">
        <v>75</v>
      </c>
      <c r="F289" t="s">
        <v>31</v>
      </c>
      <c r="G289" s="11">
        <v>45467</v>
      </c>
      <c r="H289" s="12">
        <v>45287</v>
      </c>
      <c r="I289" t="s">
        <v>81</v>
      </c>
      <c r="J289" t="s">
        <v>22</v>
      </c>
      <c r="K289" t="s">
        <v>38</v>
      </c>
      <c r="L289" t="s">
        <v>220</v>
      </c>
      <c r="M289" t="s">
        <v>25</v>
      </c>
      <c r="N289" t="s">
        <v>26</v>
      </c>
      <c r="O289">
        <v>27000</v>
      </c>
      <c r="P289" t="s">
        <v>18</v>
      </c>
      <c r="Q289" t="s">
        <v>883</v>
      </c>
      <c r="R289">
        <v>2023</v>
      </c>
      <c r="S289">
        <v>4</v>
      </c>
    </row>
    <row r="290" spans="1:19" x14ac:dyDescent="0.25">
      <c r="A290" t="s">
        <v>617</v>
      </c>
      <c r="B290" t="s">
        <v>618</v>
      </c>
      <c r="C290" t="s">
        <v>36</v>
      </c>
      <c r="D290" t="s">
        <v>18</v>
      </c>
      <c r="E290" t="s">
        <v>75</v>
      </c>
      <c r="F290" t="s">
        <v>31</v>
      </c>
      <c r="G290" s="11">
        <v>45470</v>
      </c>
      <c r="H290" s="12">
        <v>45290</v>
      </c>
      <c r="I290" t="s">
        <v>81</v>
      </c>
      <c r="J290" t="s">
        <v>22</v>
      </c>
      <c r="K290" t="s">
        <v>32</v>
      </c>
      <c r="L290" t="s">
        <v>116</v>
      </c>
      <c r="M290" t="s">
        <v>47</v>
      </c>
      <c r="N290" t="s">
        <v>26</v>
      </c>
      <c r="O290">
        <v>30000</v>
      </c>
      <c r="P290" t="s">
        <v>18</v>
      </c>
      <c r="Q290" t="s">
        <v>883</v>
      </c>
      <c r="R290">
        <v>2023</v>
      </c>
      <c r="S290">
        <v>4</v>
      </c>
    </row>
    <row r="291" spans="1:19" x14ac:dyDescent="0.25">
      <c r="A291" t="s">
        <v>619</v>
      </c>
      <c r="B291" t="s">
        <v>620</v>
      </c>
      <c r="C291" t="s">
        <v>17</v>
      </c>
      <c r="D291" t="s">
        <v>18</v>
      </c>
      <c r="E291" t="s">
        <v>75</v>
      </c>
      <c r="F291" t="s">
        <v>31</v>
      </c>
      <c r="G291" s="11">
        <v>45470</v>
      </c>
      <c r="H291" s="12">
        <v>45290</v>
      </c>
      <c r="I291" t="s">
        <v>21</v>
      </c>
      <c r="J291" t="s">
        <v>22</v>
      </c>
      <c r="K291" t="s">
        <v>58</v>
      </c>
      <c r="L291" t="s">
        <v>96</v>
      </c>
      <c r="M291" t="s">
        <v>47</v>
      </c>
      <c r="N291" t="s">
        <v>26</v>
      </c>
      <c r="O291">
        <v>30000</v>
      </c>
      <c r="P291" t="s">
        <v>18</v>
      </c>
      <c r="Q291" t="s">
        <v>883</v>
      </c>
      <c r="R291">
        <v>2023</v>
      </c>
      <c r="S291">
        <v>4</v>
      </c>
    </row>
    <row r="292" spans="1:19" x14ac:dyDescent="0.25">
      <c r="A292" t="s">
        <v>621</v>
      </c>
      <c r="B292" t="s">
        <v>622</v>
      </c>
      <c r="C292" t="s">
        <v>44</v>
      </c>
      <c r="D292" t="s">
        <v>18</v>
      </c>
      <c r="E292" t="s">
        <v>75</v>
      </c>
      <c r="F292" t="s">
        <v>31</v>
      </c>
      <c r="G292" s="11">
        <v>45470</v>
      </c>
      <c r="H292" s="12">
        <v>45290</v>
      </c>
      <c r="I292" t="s">
        <v>21</v>
      </c>
      <c r="J292" t="s">
        <v>22</v>
      </c>
      <c r="K292" t="s">
        <v>58</v>
      </c>
      <c r="L292" t="s">
        <v>24</v>
      </c>
      <c r="M292" t="s">
        <v>25</v>
      </c>
      <c r="N292" t="s">
        <v>26</v>
      </c>
      <c r="O292">
        <v>30000</v>
      </c>
      <c r="P292" t="s">
        <v>18</v>
      </c>
      <c r="Q292" t="s">
        <v>883</v>
      </c>
      <c r="R292">
        <v>2023</v>
      </c>
      <c r="S292">
        <v>4</v>
      </c>
    </row>
    <row r="293" spans="1:19" x14ac:dyDescent="0.25">
      <c r="A293" t="s">
        <v>623</v>
      </c>
      <c r="B293" t="s">
        <v>624</v>
      </c>
      <c r="C293" t="s">
        <v>36</v>
      </c>
      <c r="D293" t="s">
        <v>18</v>
      </c>
      <c r="E293" t="s">
        <v>75</v>
      </c>
      <c r="F293" t="s">
        <v>31</v>
      </c>
      <c r="G293" s="11">
        <v>45472</v>
      </c>
      <c r="H293" s="12">
        <v>45292</v>
      </c>
      <c r="I293" t="s">
        <v>21</v>
      </c>
      <c r="J293" t="s">
        <v>22</v>
      </c>
      <c r="K293" t="s">
        <v>115</v>
      </c>
      <c r="L293" t="s">
        <v>96</v>
      </c>
      <c r="M293" t="s">
        <v>47</v>
      </c>
      <c r="N293" t="s">
        <v>26</v>
      </c>
      <c r="O293">
        <v>30000</v>
      </c>
      <c r="P293" t="s">
        <v>18</v>
      </c>
      <c r="Q293" t="s">
        <v>884</v>
      </c>
      <c r="R293">
        <v>2024</v>
      </c>
      <c r="S293">
        <v>1</v>
      </c>
    </row>
    <row r="294" spans="1:19" x14ac:dyDescent="0.25">
      <c r="A294" t="s">
        <v>625</v>
      </c>
      <c r="B294" t="s">
        <v>626</v>
      </c>
      <c r="C294" t="s">
        <v>17</v>
      </c>
      <c r="D294" t="s">
        <v>18</v>
      </c>
      <c r="E294" t="s">
        <v>75</v>
      </c>
      <c r="F294" t="s">
        <v>31</v>
      </c>
      <c r="G294" s="11">
        <v>45472</v>
      </c>
      <c r="H294" s="12">
        <v>45292</v>
      </c>
      <c r="I294" t="s">
        <v>21</v>
      </c>
      <c r="J294" t="s">
        <v>22</v>
      </c>
      <c r="K294" t="s">
        <v>38</v>
      </c>
      <c r="L294" t="s">
        <v>50</v>
      </c>
      <c r="M294" t="s">
        <v>51</v>
      </c>
      <c r="N294" t="s">
        <v>26</v>
      </c>
      <c r="O294">
        <v>30000</v>
      </c>
      <c r="P294" t="s">
        <v>18</v>
      </c>
      <c r="Q294" t="s">
        <v>884</v>
      </c>
      <c r="R294">
        <v>2024</v>
      </c>
      <c r="S294">
        <v>1</v>
      </c>
    </row>
    <row r="295" spans="1:19" x14ac:dyDescent="0.25">
      <c r="A295" t="s">
        <v>627</v>
      </c>
      <c r="B295" t="s">
        <v>628</v>
      </c>
      <c r="C295" t="s">
        <v>17</v>
      </c>
      <c r="D295" t="s">
        <v>18</v>
      </c>
      <c r="E295" t="s">
        <v>75</v>
      </c>
      <c r="F295" t="s">
        <v>31</v>
      </c>
      <c r="G295" s="11">
        <v>45472</v>
      </c>
      <c r="H295" s="12">
        <v>45292</v>
      </c>
      <c r="I295" t="s">
        <v>21</v>
      </c>
      <c r="J295" t="s">
        <v>22</v>
      </c>
      <c r="K295" t="s">
        <v>23</v>
      </c>
      <c r="L295" t="s">
        <v>24</v>
      </c>
      <c r="M295" t="s">
        <v>25</v>
      </c>
      <c r="N295" t="s">
        <v>26</v>
      </c>
      <c r="O295">
        <v>30000</v>
      </c>
      <c r="P295" t="s">
        <v>18</v>
      </c>
      <c r="Q295" t="s">
        <v>884</v>
      </c>
      <c r="R295">
        <v>2024</v>
      </c>
      <c r="S295">
        <v>1</v>
      </c>
    </row>
    <row r="296" spans="1:19" x14ac:dyDescent="0.25">
      <c r="A296" t="s">
        <v>629</v>
      </c>
      <c r="B296" t="s">
        <v>630</v>
      </c>
      <c r="C296" t="s">
        <v>36</v>
      </c>
      <c r="D296" t="s">
        <v>18</v>
      </c>
      <c r="E296" t="s">
        <v>75</v>
      </c>
      <c r="F296" t="s">
        <v>31</v>
      </c>
      <c r="G296" s="11">
        <v>45472</v>
      </c>
      <c r="H296" s="12">
        <v>45292</v>
      </c>
      <c r="I296" t="s">
        <v>21</v>
      </c>
      <c r="J296" t="s">
        <v>22</v>
      </c>
      <c r="K296" t="s">
        <v>38</v>
      </c>
      <c r="L296" t="s">
        <v>24</v>
      </c>
      <c r="M296" t="s">
        <v>25</v>
      </c>
      <c r="N296" t="s">
        <v>26</v>
      </c>
      <c r="O296">
        <v>30000</v>
      </c>
      <c r="P296" t="s">
        <v>18</v>
      </c>
      <c r="Q296" t="s">
        <v>884</v>
      </c>
      <c r="R296">
        <v>2024</v>
      </c>
      <c r="S296">
        <v>1</v>
      </c>
    </row>
    <row r="297" spans="1:19" x14ac:dyDescent="0.25">
      <c r="A297" t="s">
        <v>631</v>
      </c>
      <c r="B297" t="s">
        <v>632</v>
      </c>
      <c r="C297" t="s">
        <v>36</v>
      </c>
      <c r="D297" t="s">
        <v>18</v>
      </c>
      <c r="E297" t="s">
        <v>75</v>
      </c>
      <c r="F297" t="s">
        <v>31</v>
      </c>
      <c r="G297" s="11">
        <v>45472</v>
      </c>
      <c r="H297" s="12">
        <v>45292</v>
      </c>
      <c r="I297" t="s">
        <v>21</v>
      </c>
      <c r="J297" t="s">
        <v>37</v>
      </c>
      <c r="K297" t="s">
        <v>58</v>
      </c>
      <c r="L297" t="s">
        <v>24</v>
      </c>
      <c r="M297" t="s">
        <v>25</v>
      </c>
      <c r="N297" t="s">
        <v>26</v>
      </c>
      <c r="O297">
        <v>30000</v>
      </c>
      <c r="P297" t="s">
        <v>18</v>
      </c>
      <c r="Q297" t="s">
        <v>884</v>
      </c>
      <c r="R297">
        <v>2024</v>
      </c>
      <c r="S297">
        <v>1</v>
      </c>
    </row>
    <row r="298" spans="1:19" x14ac:dyDescent="0.25">
      <c r="A298" t="s">
        <v>633</v>
      </c>
      <c r="B298" t="s">
        <v>634</v>
      </c>
      <c r="C298" t="s">
        <v>17</v>
      </c>
      <c r="D298" t="s">
        <v>18</v>
      </c>
      <c r="E298" t="s">
        <v>75</v>
      </c>
      <c r="F298" t="s">
        <v>31</v>
      </c>
      <c r="G298" s="11">
        <v>45472</v>
      </c>
      <c r="H298" s="12">
        <v>45292</v>
      </c>
      <c r="I298" t="s">
        <v>21</v>
      </c>
      <c r="J298" t="s">
        <v>22</v>
      </c>
      <c r="K298" t="s">
        <v>115</v>
      </c>
      <c r="L298" t="s">
        <v>24</v>
      </c>
      <c r="M298" t="s">
        <v>25</v>
      </c>
      <c r="N298" t="s">
        <v>26</v>
      </c>
      <c r="O298">
        <v>30000</v>
      </c>
      <c r="P298" t="s">
        <v>18</v>
      </c>
      <c r="Q298" t="s">
        <v>884</v>
      </c>
      <c r="R298">
        <v>2024</v>
      </c>
      <c r="S298">
        <v>1</v>
      </c>
    </row>
    <row r="299" spans="1:19" x14ac:dyDescent="0.25">
      <c r="A299" t="s">
        <v>635</v>
      </c>
      <c r="B299" t="s">
        <v>193</v>
      </c>
      <c r="C299" t="s">
        <v>44</v>
      </c>
      <c r="D299" t="s">
        <v>18</v>
      </c>
      <c r="E299" t="s">
        <v>75</v>
      </c>
      <c r="F299" t="s">
        <v>31</v>
      </c>
      <c r="G299" s="11">
        <v>45472</v>
      </c>
      <c r="H299" s="12">
        <v>45292</v>
      </c>
      <c r="I299" t="s">
        <v>21</v>
      </c>
      <c r="J299" t="s">
        <v>22</v>
      </c>
      <c r="K299" t="s">
        <v>38</v>
      </c>
      <c r="L299" t="s">
        <v>191</v>
      </c>
      <c r="M299" t="s">
        <v>40</v>
      </c>
      <c r="N299" t="s">
        <v>26</v>
      </c>
      <c r="O299">
        <v>30000</v>
      </c>
      <c r="P299" t="s">
        <v>18</v>
      </c>
      <c r="Q299" t="s">
        <v>884</v>
      </c>
      <c r="R299">
        <v>2024</v>
      </c>
      <c r="S299">
        <v>1</v>
      </c>
    </row>
    <row r="300" spans="1:19" x14ac:dyDescent="0.25">
      <c r="A300" t="s">
        <v>636</v>
      </c>
      <c r="B300" t="s">
        <v>637</v>
      </c>
      <c r="C300" t="s">
        <v>36</v>
      </c>
      <c r="D300" t="s">
        <v>18</v>
      </c>
      <c r="E300" t="s">
        <v>75</v>
      </c>
      <c r="F300" t="s">
        <v>31</v>
      </c>
      <c r="G300" s="11">
        <v>45472</v>
      </c>
      <c r="H300" s="12">
        <v>45292</v>
      </c>
      <c r="I300" t="s">
        <v>81</v>
      </c>
      <c r="J300" t="s">
        <v>22</v>
      </c>
      <c r="K300" t="s">
        <v>23</v>
      </c>
      <c r="L300" t="s">
        <v>225</v>
      </c>
      <c r="M300" t="s">
        <v>47</v>
      </c>
      <c r="N300" t="s">
        <v>26</v>
      </c>
      <c r="O300">
        <v>30000</v>
      </c>
      <c r="P300" t="s">
        <v>18</v>
      </c>
      <c r="Q300" t="s">
        <v>884</v>
      </c>
      <c r="R300">
        <v>2024</v>
      </c>
      <c r="S300">
        <v>1</v>
      </c>
    </row>
    <row r="301" spans="1:19" x14ac:dyDescent="0.25">
      <c r="A301" t="s">
        <v>638</v>
      </c>
      <c r="B301" t="s">
        <v>639</v>
      </c>
      <c r="C301" t="s">
        <v>36</v>
      </c>
      <c r="D301" t="s">
        <v>18</v>
      </c>
      <c r="E301" t="s">
        <v>75</v>
      </c>
      <c r="F301" t="s">
        <v>31</v>
      </c>
      <c r="G301" s="11">
        <v>45472</v>
      </c>
      <c r="H301" s="12">
        <v>45292</v>
      </c>
      <c r="I301" t="s">
        <v>81</v>
      </c>
      <c r="J301" t="s">
        <v>37</v>
      </c>
      <c r="K301" t="s">
        <v>38</v>
      </c>
      <c r="L301" t="s">
        <v>24</v>
      </c>
      <c r="M301" t="s">
        <v>25</v>
      </c>
      <c r="N301" t="s">
        <v>26</v>
      </c>
      <c r="O301">
        <v>30000</v>
      </c>
      <c r="P301" t="s">
        <v>18</v>
      </c>
      <c r="Q301" t="s">
        <v>884</v>
      </c>
      <c r="R301">
        <v>2024</v>
      </c>
      <c r="S301">
        <v>1</v>
      </c>
    </row>
    <row r="302" spans="1:19" x14ac:dyDescent="0.25">
      <c r="A302" t="s">
        <v>640</v>
      </c>
      <c r="B302" t="s">
        <v>641</v>
      </c>
      <c r="C302" t="s">
        <v>36</v>
      </c>
      <c r="D302" t="s">
        <v>18</v>
      </c>
      <c r="E302" t="s">
        <v>75</v>
      </c>
      <c r="F302" t="s">
        <v>31</v>
      </c>
      <c r="G302" s="11">
        <v>45472</v>
      </c>
      <c r="H302" s="12">
        <v>45292</v>
      </c>
      <c r="I302" t="s">
        <v>21</v>
      </c>
      <c r="J302" t="s">
        <v>37</v>
      </c>
      <c r="K302" t="s">
        <v>38</v>
      </c>
      <c r="L302" t="s">
        <v>24</v>
      </c>
      <c r="M302" t="s">
        <v>25</v>
      </c>
      <c r="N302" t="s">
        <v>26</v>
      </c>
      <c r="O302">
        <v>30000</v>
      </c>
      <c r="P302" t="s">
        <v>18</v>
      </c>
      <c r="Q302" t="s">
        <v>884</v>
      </c>
      <c r="R302">
        <v>2024</v>
      </c>
      <c r="S302">
        <v>1</v>
      </c>
    </row>
    <row r="303" spans="1:19" x14ac:dyDescent="0.25">
      <c r="A303" t="s">
        <v>642</v>
      </c>
      <c r="B303" t="s">
        <v>643</v>
      </c>
      <c r="C303" t="s">
        <v>44</v>
      </c>
      <c r="D303" t="s">
        <v>18</v>
      </c>
      <c r="E303" t="s">
        <v>75</v>
      </c>
      <c r="F303" t="s">
        <v>31</v>
      </c>
      <c r="G303" s="11">
        <v>45472</v>
      </c>
      <c r="H303" s="12">
        <v>45292</v>
      </c>
      <c r="I303" t="s">
        <v>21</v>
      </c>
      <c r="J303" t="s">
        <v>22</v>
      </c>
      <c r="K303" t="s">
        <v>32</v>
      </c>
      <c r="L303" t="s">
        <v>24</v>
      </c>
      <c r="M303" t="s">
        <v>25</v>
      </c>
      <c r="N303" t="s">
        <v>26</v>
      </c>
      <c r="O303">
        <v>30000</v>
      </c>
      <c r="P303" t="s">
        <v>18</v>
      </c>
      <c r="Q303" t="s">
        <v>884</v>
      </c>
      <c r="R303">
        <v>2024</v>
      </c>
      <c r="S303">
        <v>1</v>
      </c>
    </row>
    <row r="304" spans="1:19" x14ac:dyDescent="0.25">
      <c r="A304" t="s">
        <v>644</v>
      </c>
      <c r="B304" t="s">
        <v>645</v>
      </c>
      <c r="C304" t="s">
        <v>36</v>
      </c>
      <c r="D304" t="s">
        <v>646</v>
      </c>
      <c r="E304" t="s">
        <v>75</v>
      </c>
      <c r="F304" t="s">
        <v>31</v>
      </c>
      <c r="G304" s="11">
        <v>45472</v>
      </c>
      <c r="H304" s="12">
        <v>45292</v>
      </c>
      <c r="I304" t="s">
        <v>21</v>
      </c>
      <c r="J304" t="s">
        <v>22</v>
      </c>
      <c r="K304" t="s">
        <v>32</v>
      </c>
      <c r="L304" t="s">
        <v>24</v>
      </c>
      <c r="M304" t="s">
        <v>25</v>
      </c>
      <c r="N304" t="s">
        <v>26</v>
      </c>
      <c r="O304">
        <v>30000</v>
      </c>
      <c r="P304" t="s">
        <v>872</v>
      </c>
      <c r="Q304" t="s">
        <v>884</v>
      </c>
      <c r="R304">
        <v>2024</v>
      </c>
      <c r="S304">
        <v>1</v>
      </c>
    </row>
    <row r="305" spans="1:19" x14ac:dyDescent="0.25">
      <c r="A305" t="s">
        <v>647</v>
      </c>
      <c r="B305" t="s">
        <v>648</v>
      </c>
      <c r="C305" t="s">
        <v>36</v>
      </c>
      <c r="D305" t="s">
        <v>646</v>
      </c>
      <c r="E305" t="s">
        <v>75</v>
      </c>
      <c r="F305" t="s">
        <v>31</v>
      </c>
      <c r="G305" s="11">
        <v>45472</v>
      </c>
      <c r="H305" s="12">
        <v>45292</v>
      </c>
      <c r="I305" t="s">
        <v>21</v>
      </c>
      <c r="J305" t="s">
        <v>22</v>
      </c>
      <c r="K305" t="s">
        <v>32</v>
      </c>
      <c r="L305" t="s">
        <v>24</v>
      </c>
      <c r="M305" t="s">
        <v>25</v>
      </c>
      <c r="N305" t="s">
        <v>26</v>
      </c>
      <c r="O305">
        <v>30000</v>
      </c>
      <c r="P305" t="s">
        <v>872</v>
      </c>
      <c r="Q305" t="s">
        <v>884</v>
      </c>
      <c r="R305">
        <v>2024</v>
      </c>
      <c r="S305">
        <v>1</v>
      </c>
    </row>
    <row r="306" spans="1:19" x14ac:dyDescent="0.25">
      <c r="A306" t="s">
        <v>649</v>
      </c>
      <c r="B306" t="s">
        <v>650</v>
      </c>
      <c r="C306" t="s">
        <v>44</v>
      </c>
      <c r="D306" t="s">
        <v>18</v>
      </c>
      <c r="E306" t="s">
        <v>75</v>
      </c>
      <c r="F306" t="s">
        <v>31</v>
      </c>
      <c r="G306" s="11">
        <v>45473</v>
      </c>
      <c r="H306" s="12">
        <v>45293</v>
      </c>
      <c r="I306" t="s">
        <v>21</v>
      </c>
      <c r="J306" t="s">
        <v>22</v>
      </c>
      <c r="K306" t="s">
        <v>148</v>
      </c>
      <c r="L306" t="s">
        <v>518</v>
      </c>
      <c r="M306" t="s">
        <v>47</v>
      </c>
      <c r="N306" t="s">
        <v>26</v>
      </c>
      <c r="O306">
        <v>30000</v>
      </c>
      <c r="P306" t="s">
        <v>18</v>
      </c>
      <c r="Q306" t="s">
        <v>884</v>
      </c>
      <c r="R306">
        <v>2024</v>
      </c>
      <c r="S306">
        <v>1</v>
      </c>
    </row>
    <row r="307" spans="1:19" x14ac:dyDescent="0.25">
      <c r="A307" t="s">
        <v>651</v>
      </c>
      <c r="B307" t="s">
        <v>652</v>
      </c>
      <c r="C307" t="s">
        <v>44</v>
      </c>
      <c r="D307" t="s">
        <v>18</v>
      </c>
      <c r="E307" t="s">
        <v>75</v>
      </c>
      <c r="F307" t="s">
        <v>31</v>
      </c>
      <c r="G307" s="11">
        <v>45473</v>
      </c>
      <c r="H307" s="12">
        <v>45293</v>
      </c>
      <c r="I307" t="s">
        <v>21</v>
      </c>
      <c r="J307" t="s">
        <v>22</v>
      </c>
      <c r="K307" t="s">
        <v>23</v>
      </c>
      <c r="L307" t="s">
        <v>96</v>
      </c>
      <c r="M307" t="s">
        <v>47</v>
      </c>
      <c r="N307" t="s">
        <v>26</v>
      </c>
      <c r="O307">
        <v>30000</v>
      </c>
      <c r="P307" t="s">
        <v>18</v>
      </c>
      <c r="Q307" t="s">
        <v>884</v>
      </c>
      <c r="R307">
        <v>2024</v>
      </c>
      <c r="S307">
        <v>1</v>
      </c>
    </row>
    <row r="308" spans="1:19" x14ac:dyDescent="0.25">
      <c r="A308" t="s">
        <v>653</v>
      </c>
      <c r="B308" t="s">
        <v>654</v>
      </c>
      <c r="C308" t="s">
        <v>36</v>
      </c>
      <c r="D308" t="s">
        <v>18</v>
      </c>
      <c r="E308" t="s">
        <v>75</v>
      </c>
      <c r="F308" t="s">
        <v>31</v>
      </c>
      <c r="G308" s="11">
        <v>45473</v>
      </c>
      <c r="H308" s="12">
        <v>45293</v>
      </c>
      <c r="I308" t="s">
        <v>21</v>
      </c>
      <c r="J308" t="s">
        <v>22</v>
      </c>
      <c r="K308" t="s">
        <v>38</v>
      </c>
      <c r="L308" t="s">
        <v>24</v>
      </c>
      <c r="M308" t="s">
        <v>25</v>
      </c>
      <c r="N308" t="s">
        <v>26</v>
      </c>
      <c r="O308">
        <v>30000</v>
      </c>
      <c r="P308" t="s">
        <v>18</v>
      </c>
      <c r="Q308" t="s">
        <v>884</v>
      </c>
      <c r="R308">
        <v>2024</v>
      </c>
      <c r="S308">
        <v>1</v>
      </c>
    </row>
    <row r="309" spans="1:19" x14ac:dyDescent="0.25">
      <c r="A309" t="s">
        <v>655</v>
      </c>
      <c r="B309" t="s">
        <v>656</v>
      </c>
      <c r="C309" t="s">
        <v>44</v>
      </c>
      <c r="D309" t="s">
        <v>18</v>
      </c>
      <c r="E309" t="s">
        <v>75</v>
      </c>
      <c r="F309" t="s">
        <v>31</v>
      </c>
      <c r="G309" s="11">
        <v>45474</v>
      </c>
      <c r="H309" s="12">
        <v>45294</v>
      </c>
      <c r="I309" t="s">
        <v>81</v>
      </c>
      <c r="J309" t="s">
        <v>22</v>
      </c>
      <c r="K309" t="s">
        <v>38</v>
      </c>
      <c r="L309" t="s">
        <v>282</v>
      </c>
      <c r="M309" t="s">
        <v>283</v>
      </c>
      <c r="N309" t="s">
        <v>26</v>
      </c>
      <c r="O309">
        <v>30000</v>
      </c>
      <c r="P309" t="s">
        <v>18</v>
      </c>
      <c r="Q309" t="s">
        <v>884</v>
      </c>
      <c r="R309">
        <v>2024</v>
      </c>
      <c r="S309">
        <v>1</v>
      </c>
    </row>
    <row r="310" spans="1:19" x14ac:dyDescent="0.25">
      <c r="A310" t="s">
        <v>657</v>
      </c>
      <c r="B310" t="s">
        <v>658</v>
      </c>
      <c r="C310" t="s">
        <v>44</v>
      </c>
      <c r="D310" t="s">
        <v>18</v>
      </c>
      <c r="E310" t="s">
        <v>75</v>
      </c>
      <c r="F310" t="s">
        <v>31</v>
      </c>
      <c r="G310" s="11">
        <v>45474</v>
      </c>
      <c r="H310" s="12">
        <v>45294</v>
      </c>
      <c r="I310" t="s">
        <v>81</v>
      </c>
      <c r="J310" t="s">
        <v>22</v>
      </c>
      <c r="K310" t="s">
        <v>32</v>
      </c>
      <c r="L310" t="s">
        <v>24</v>
      </c>
      <c r="M310" t="s">
        <v>25</v>
      </c>
      <c r="N310" t="s">
        <v>26</v>
      </c>
      <c r="O310">
        <v>30000</v>
      </c>
      <c r="P310" t="s">
        <v>18</v>
      </c>
      <c r="Q310" t="s">
        <v>884</v>
      </c>
      <c r="R310">
        <v>2024</v>
      </c>
      <c r="S310">
        <v>1</v>
      </c>
    </row>
    <row r="311" spans="1:19" x14ac:dyDescent="0.25">
      <c r="A311" t="s">
        <v>659</v>
      </c>
      <c r="B311" t="s">
        <v>660</v>
      </c>
      <c r="C311" t="s">
        <v>36</v>
      </c>
      <c r="D311" t="s">
        <v>18</v>
      </c>
      <c r="E311" t="s">
        <v>75</v>
      </c>
      <c r="F311" t="s">
        <v>31</v>
      </c>
      <c r="G311" s="11">
        <v>45477</v>
      </c>
      <c r="H311" s="12">
        <v>45297</v>
      </c>
      <c r="I311" t="s">
        <v>21</v>
      </c>
      <c r="J311" t="s">
        <v>22</v>
      </c>
      <c r="K311" t="s">
        <v>23</v>
      </c>
      <c r="L311" t="s">
        <v>96</v>
      </c>
      <c r="M311" t="s">
        <v>47</v>
      </c>
      <c r="N311" t="s">
        <v>26</v>
      </c>
      <c r="O311">
        <v>30000</v>
      </c>
      <c r="P311" t="s">
        <v>18</v>
      </c>
      <c r="Q311" t="s">
        <v>884</v>
      </c>
      <c r="R311">
        <v>2024</v>
      </c>
      <c r="S311">
        <v>1</v>
      </c>
    </row>
    <row r="312" spans="1:19" x14ac:dyDescent="0.25">
      <c r="A312" t="s">
        <v>661</v>
      </c>
      <c r="B312" t="s">
        <v>662</v>
      </c>
      <c r="C312" t="s">
        <v>17</v>
      </c>
      <c r="D312" t="s">
        <v>18</v>
      </c>
      <c r="E312" t="s">
        <v>75</v>
      </c>
      <c r="F312" t="s">
        <v>31</v>
      </c>
      <c r="G312" s="11">
        <v>45477</v>
      </c>
      <c r="H312" s="12">
        <v>45297</v>
      </c>
      <c r="I312" t="s">
        <v>21</v>
      </c>
      <c r="J312" t="s">
        <v>22</v>
      </c>
      <c r="K312" t="s">
        <v>23</v>
      </c>
      <c r="L312" t="s">
        <v>96</v>
      </c>
      <c r="M312" t="s">
        <v>47</v>
      </c>
      <c r="N312" t="s">
        <v>26</v>
      </c>
      <c r="O312">
        <v>30000</v>
      </c>
      <c r="P312" t="s">
        <v>18</v>
      </c>
      <c r="Q312" t="s">
        <v>884</v>
      </c>
      <c r="R312">
        <v>2024</v>
      </c>
      <c r="S312">
        <v>1</v>
      </c>
    </row>
    <row r="313" spans="1:19" x14ac:dyDescent="0.25">
      <c r="A313" t="s">
        <v>663</v>
      </c>
      <c r="B313" t="s">
        <v>664</v>
      </c>
      <c r="C313" t="s">
        <v>17</v>
      </c>
      <c r="D313" t="s">
        <v>18</v>
      </c>
      <c r="E313" t="s">
        <v>75</v>
      </c>
      <c r="F313" t="s">
        <v>31</v>
      </c>
      <c r="G313" s="11">
        <v>45477</v>
      </c>
      <c r="H313" s="12">
        <v>45297</v>
      </c>
      <c r="I313" t="s">
        <v>81</v>
      </c>
      <c r="J313" t="s">
        <v>37</v>
      </c>
      <c r="K313" t="s">
        <v>23</v>
      </c>
      <c r="L313" t="s">
        <v>290</v>
      </c>
      <c r="M313" t="s">
        <v>47</v>
      </c>
      <c r="N313" t="s">
        <v>26</v>
      </c>
      <c r="O313">
        <v>30000</v>
      </c>
      <c r="P313" t="s">
        <v>18</v>
      </c>
      <c r="Q313" t="s">
        <v>884</v>
      </c>
      <c r="R313">
        <v>2024</v>
      </c>
      <c r="S313">
        <v>1</v>
      </c>
    </row>
    <row r="314" spans="1:19" x14ac:dyDescent="0.25">
      <c r="A314" t="s">
        <v>665</v>
      </c>
      <c r="B314" t="s">
        <v>666</v>
      </c>
      <c r="C314" t="s">
        <v>36</v>
      </c>
      <c r="D314" t="s">
        <v>18</v>
      </c>
      <c r="E314" t="s">
        <v>75</v>
      </c>
      <c r="F314" t="s">
        <v>31</v>
      </c>
      <c r="G314" s="11">
        <v>45477</v>
      </c>
      <c r="H314" s="12">
        <v>45297</v>
      </c>
      <c r="I314" t="s">
        <v>81</v>
      </c>
      <c r="J314" t="s">
        <v>22</v>
      </c>
      <c r="K314" t="s">
        <v>32</v>
      </c>
      <c r="L314" t="s">
        <v>24</v>
      </c>
      <c r="M314" t="s">
        <v>25</v>
      </c>
      <c r="N314" t="s">
        <v>26</v>
      </c>
      <c r="O314">
        <v>6000</v>
      </c>
      <c r="P314" t="s">
        <v>18</v>
      </c>
      <c r="Q314" t="s">
        <v>884</v>
      </c>
      <c r="R314">
        <v>2024</v>
      </c>
      <c r="S314">
        <v>1</v>
      </c>
    </row>
    <row r="315" spans="1:19" x14ac:dyDescent="0.25">
      <c r="A315" t="s">
        <v>667</v>
      </c>
      <c r="B315" t="s">
        <v>668</v>
      </c>
      <c r="C315" t="s">
        <v>36</v>
      </c>
      <c r="D315" t="s">
        <v>169</v>
      </c>
      <c r="E315" t="s">
        <v>30</v>
      </c>
      <c r="F315" t="s">
        <v>31</v>
      </c>
      <c r="G315" s="11">
        <v>45475</v>
      </c>
      <c r="H315" s="12">
        <v>45295</v>
      </c>
      <c r="I315" t="s">
        <v>21</v>
      </c>
      <c r="J315" t="s">
        <v>22</v>
      </c>
      <c r="K315" t="s">
        <v>32</v>
      </c>
      <c r="L315" t="s">
        <v>172</v>
      </c>
      <c r="M315" t="s">
        <v>51</v>
      </c>
      <c r="N315" t="s">
        <v>26</v>
      </c>
      <c r="O315">
        <v>6000</v>
      </c>
      <c r="P315" t="s">
        <v>872</v>
      </c>
      <c r="Q315" t="s">
        <v>884</v>
      </c>
      <c r="R315">
        <v>2024</v>
      </c>
      <c r="S315">
        <v>1</v>
      </c>
    </row>
    <row r="316" spans="1:19" x14ac:dyDescent="0.25">
      <c r="A316" t="s">
        <v>669</v>
      </c>
      <c r="B316" t="s">
        <v>670</v>
      </c>
      <c r="C316" t="s">
        <v>44</v>
      </c>
      <c r="D316" t="s">
        <v>18</v>
      </c>
      <c r="E316" t="s">
        <v>75</v>
      </c>
      <c r="F316" t="s">
        <v>31</v>
      </c>
      <c r="G316" s="11">
        <v>45477</v>
      </c>
      <c r="H316" s="12">
        <v>45297</v>
      </c>
      <c r="I316" t="s">
        <v>21</v>
      </c>
      <c r="J316" t="s">
        <v>22</v>
      </c>
      <c r="K316" t="s">
        <v>115</v>
      </c>
      <c r="L316" t="s">
        <v>24</v>
      </c>
      <c r="M316" t="s">
        <v>25</v>
      </c>
      <c r="N316" t="s">
        <v>26</v>
      </c>
      <c r="O316">
        <v>6000</v>
      </c>
      <c r="P316" t="s">
        <v>18</v>
      </c>
      <c r="Q316" t="s">
        <v>884</v>
      </c>
      <c r="R316">
        <v>2024</v>
      </c>
      <c r="S316">
        <v>1</v>
      </c>
    </row>
    <row r="317" spans="1:19" x14ac:dyDescent="0.25">
      <c r="A317" t="s">
        <v>671</v>
      </c>
      <c r="B317" t="s">
        <v>672</v>
      </c>
      <c r="C317" t="s">
        <v>44</v>
      </c>
      <c r="D317" t="s">
        <v>18</v>
      </c>
      <c r="E317" t="s">
        <v>75</v>
      </c>
      <c r="F317" t="s">
        <v>31</v>
      </c>
      <c r="G317" s="11">
        <v>45477</v>
      </c>
      <c r="H317" s="12">
        <v>45297</v>
      </c>
      <c r="I317" t="s">
        <v>21</v>
      </c>
      <c r="J317" t="s">
        <v>22</v>
      </c>
      <c r="K317" t="s">
        <v>23</v>
      </c>
      <c r="L317" t="s">
        <v>220</v>
      </c>
      <c r="M317" t="s">
        <v>25</v>
      </c>
      <c r="N317" t="s">
        <v>26</v>
      </c>
      <c r="O317">
        <v>6000</v>
      </c>
      <c r="P317" t="s">
        <v>18</v>
      </c>
      <c r="Q317" t="s">
        <v>884</v>
      </c>
      <c r="R317">
        <v>2024</v>
      </c>
      <c r="S317">
        <v>1</v>
      </c>
    </row>
    <row r="318" spans="1:19" x14ac:dyDescent="0.25">
      <c r="A318" t="s">
        <v>673</v>
      </c>
      <c r="B318" t="s">
        <v>674</v>
      </c>
      <c r="C318" t="s">
        <v>44</v>
      </c>
      <c r="D318" t="s">
        <v>18</v>
      </c>
      <c r="E318" t="s">
        <v>75</v>
      </c>
      <c r="F318" t="s">
        <v>31</v>
      </c>
      <c r="G318" s="11">
        <v>45480</v>
      </c>
      <c r="H318" s="12">
        <v>45300</v>
      </c>
      <c r="I318" t="s">
        <v>21</v>
      </c>
      <c r="J318" t="s">
        <v>22</v>
      </c>
      <c r="K318" t="s">
        <v>115</v>
      </c>
      <c r="L318" t="s">
        <v>119</v>
      </c>
      <c r="M318" t="s">
        <v>25</v>
      </c>
      <c r="N318" t="s">
        <v>26</v>
      </c>
      <c r="O318">
        <v>6000</v>
      </c>
      <c r="P318" t="s">
        <v>18</v>
      </c>
      <c r="Q318" t="s">
        <v>884</v>
      </c>
      <c r="R318">
        <v>2024</v>
      </c>
      <c r="S318">
        <v>1</v>
      </c>
    </row>
    <row r="319" spans="1:19" x14ac:dyDescent="0.25">
      <c r="A319" t="s">
        <v>675</v>
      </c>
      <c r="B319" t="s">
        <v>676</v>
      </c>
      <c r="C319" t="s">
        <v>36</v>
      </c>
      <c r="D319" t="s">
        <v>18</v>
      </c>
      <c r="E319" t="s">
        <v>75</v>
      </c>
      <c r="F319" t="s">
        <v>31</v>
      </c>
      <c r="G319" s="11">
        <v>45480</v>
      </c>
      <c r="H319" s="12">
        <v>45300</v>
      </c>
      <c r="I319" t="s">
        <v>81</v>
      </c>
      <c r="J319" t="s">
        <v>22</v>
      </c>
      <c r="K319" t="s">
        <v>115</v>
      </c>
      <c r="L319" t="s">
        <v>225</v>
      </c>
      <c r="M319" t="s">
        <v>47</v>
      </c>
      <c r="N319" t="s">
        <v>26</v>
      </c>
      <c r="O319">
        <v>6000</v>
      </c>
      <c r="P319" t="s">
        <v>18</v>
      </c>
      <c r="Q319" t="s">
        <v>884</v>
      </c>
      <c r="R319">
        <v>2024</v>
      </c>
      <c r="S319">
        <v>1</v>
      </c>
    </row>
    <row r="320" spans="1:19" x14ac:dyDescent="0.25">
      <c r="A320" t="s">
        <v>677</v>
      </c>
      <c r="B320" t="s">
        <v>678</v>
      </c>
      <c r="C320" t="s">
        <v>205</v>
      </c>
      <c r="D320" t="s">
        <v>18</v>
      </c>
      <c r="E320" t="s">
        <v>75</v>
      </c>
      <c r="F320" t="s">
        <v>31</v>
      </c>
      <c r="G320" s="11">
        <v>45480</v>
      </c>
      <c r="H320" s="12">
        <v>45300</v>
      </c>
      <c r="I320" t="s">
        <v>81</v>
      </c>
      <c r="J320" t="s">
        <v>37</v>
      </c>
      <c r="K320" t="s">
        <v>38</v>
      </c>
      <c r="L320" t="s">
        <v>220</v>
      </c>
      <c r="M320" t="s">
        <v>25</v>
      </c>
      <c r="N320" t="s">
        <v>26</v>
      </c>
      <c r="O320">
        <v>6000</v>
      </c>
      <c r="P320" t="s">
        <v>18</v>
      </c>
      <c r="Q320" t="s">
        <v>884</v>
      </c>
      <c r="R320">
        <v>2024</v>
      </c>
      <c r="S320">
        <v>1</v>
      </c>
    </row>
    <row r="321" spans="1:19" x14ac:dyDescent="0.25">
      <c r="A321" t="s">
        <v>679</v>
      </c>
      <c r="B321" t="s">
        <v>680</v>
      </c>
      <c r="C321" t="s">
        <v>17</v>
      </c>
      <c r="D321" t="s">
        <v>18</v>
      </c>
      <c r="E321" t="s">
        <v>75</v>
      </c>
      <c r="F321" t="s">
        <v>31</v>
      </c>
      <c r="G321" s="11">
        <v>45480</v>
      </c>
      <c r="H321" s="12">
        <v>45300</v>
      </c>
      <c r="I321" t="s">
        <v>81</v>
      </c>
      <c r="J321" t="s">
        <v>22</v>
      </c>
      <c r="K321" t="s">
        <v>38</v>
      </c>
      <c r="L321" t="s">
        <v>220</v>
      </c>
      <c r="M321" t="s">
        <v>25</v>
      </c>
      <c r="N321" t="s">
        <v>26</v>
      </c>
      <c r="O321">
        <v>6000</v>
      </c>
      <c r="P321" t="s">
        <v>18</v>
      </c>
      <c r="Q321" t="s">
        <v>884</v>
      </c>
      <c r="R321">
        <v>2024</v>
      </c>
      <c r="S321">
        <v>1</v>
      </c>
    </row>
    <row r="322" spans="1:19" x14ac:dyDescent="0.25">
      <c r="A322" t="s">
        <v>681</v>
      </c>
      <c r="B322" t="s">
        <v>682</v>
      </c>
      <c r="C322" t="s">
        <v>44</v>
      </c>
      <c r="D322" t="s">
        <v>18</v>
      </c>
      <c r="E322" t="s">
        <v>75</v>
      </c>
      <c r="F322" t="s">
        <v>31</v>
      </c>
      <c r="G322" s="11">
        <v>45480</v>
      </c>
      <c r="H322" s="12">
        <v>45300</v>
      </c>
      <c r="I322" t="s">
        <v>81</v>
      </c>
      <c r="J322" t="s">
        <v>22</v>
      </c>
      <c r="K322" t="s">
        <v>115</v>
      </c>
      <c r="L322" t="s">
        <v>220</v>
      </c>
      <c r="M322" t="s">
        <v>25</v>
      </c>
      <c r="N322" t="s">
        <v>26</v>
      </c>
      <c r="O322">
        <v>6000</v>
      </c>
      <c r="P322" t="s">
        <v>18</v>
      </c>
      <c r="Q322" t="s">
        <v>884</v>
      </c>
      <c r="R322">
        <v>2024</v>
      </c>
      <c r="S322">
        <v>1</v>
      </c>
    </row>
    <row r="323" spans="1:19" x14ac:dyDescent="0.25">
      <c r="A323" t="s">
        <v>683</v>
      </c>
      <c r="B323" t="s">
        <v>684</v>
      </c>
      <c r="C323" t="s">
        <v>17</v>
      </c>
      <c r="D323" t="s">
        <v>18</v>
      </c>
      <c r="E323" t="s">
        <v>75</v>
      </c>
      <c r="F323" t="s">
        <v>31</v>
      </c>
      <c r="G323" s="11">
        <v>45481</v>
      </c>
      <c r="H323" s="12">
        <v>45301</v>
      </c>
      <c r="I323" t="s">
        <v>21</v>
      </c>
      <c r="J323" t="s">
        <v>22</v>
      </c>
      <c r="K323" t="s">
        <v>23</v>
      </c>
      <c r="L323" t="s">
        <v>225</v>
      </c>
      <c r="M323" t="s">
        <v>47</v>
      </c>
      <c r="N323" t="s">
        <v>26</v>
      </c>
      <c r="O323">
        <v>6000</v>
      </c>
      <c r="P323" t="s">
        <v>18</v>
      </c>
      <c r="Q323" t="s">
        <v>884</v>
      </c>
      <c r="R323">
        <v>2024</v>
      </c>
      <c r="S323">
        <v>1</v>
      </c>
    </row>
    <row r="324" spans="1:19" x14ac:dyDescent="0.25">
      <c r="A324" t="s">
        <v>685</v>
      </c>
      <c r="B324" t="s">
        <v>686</v>
      </c>
      <c r="C324" t="s">
        <v>17</v>
      </c>
      <c r="D324" t="s">
        <v>18</v>
      </c>
      <c r="E324" t="s">
        <v>75</v>
      </c>
      <c r="F324" t="s">
        <v>31</v>
      </c>
      <c r="G324" s="11">
        <v>45481</v>
      </c>
      <c r="H324" s="12">
        <v>45301</v>
      </c>
      <c r="I324" t="s">
        <v>81</v>
      </c>
      <c r="J324" t="s">
        <v>22</v>
      </c>
      <c r="K324" t="s">
        <v>23</v>
      </c>
      <c r="L324" t="s">
        <v>225</v>
      </c>
      <c r="M324" t="s">
        <v>47</v>
      </c>
      <c r="N324" t="s">
        <v>26</v>
      </c>
      <c r="O324">
        <v>6000</v>
      </c>
      <c r="P324" t="s">
        <v>18</v>
      </c>
      <c r="Q324" t="s">
        <v>884</v>
      </c>
      <c r="R324">
        <v>2024</v>
      </c>
      <c r="S324">
        <v>1</v>
      </c>
    </row>
    <row r="325" spans="1:19" x14ac:dyDescent="0.25">
      <c r="A325" t="s">
        <v>687</v>
      </c>
      <c r="B325" t="s">
        <v>688</v>
      </c>
      <c r="C325" t="s">
        <v>44</v>
      </c>
      <c r="D325" t="s">
        <v>18</v>
      </c>
      <c r="E325" t="s">
        <v>75</v>
      </c>
      <c r="F325" t="s">
        <v>31</v>
      </c>
      <c r="G325" s="11">
        <v>45481</v>
      </c>
      <c r="H325" s="12">
        <v>45301</v>
      </c>
      <c r="I325" t="s">
        <v>81</v>
      </c>
      <c r="J325" t="s">
        <v>22</v>
      </c>
      <c r="K325" t="s">
        <v>115</v>
      </c>
      <c r="L325" t="s">
        <v>689</v>
      </c>
      <c r="M325" t="s">
        <v>102</v>
      </c>
      <c r="N325" t="s">
        <v>26</v>
      </c>
      <c r="O325">
        <v>6000</v>
      </c>
      <c r="P325" t="s">
        <v>18</v>
      </c>
      <c r="Q325" t="s">
        <v>884</v>
      </c>
      <c r="R325">
        <v>2024</v>
      </c>
      <c r="S325">
        <v>1</v>
      </c>
    </row>
    <row r="326" spans="1:19" x14ac:dyDescent="0.25">
      <c r="A326" t="s">
        <v>690</v>
      </c>
      <c r="B326" t="s">
        <v>334</v>
      </c>
      <c r="C326" t="s">
        <v>36</v>
      </c>
      <c r="D326" t="s">
        <v>18</v>
      </c>
      <c r="E326" t="s">
        <v>75</v>
      </c>
      <c r="F326" t="s">
        <v>31</v>
      </c>
      <c r="G326" s="11">
        <v>45481</v>
      </c>
      <c r="H326" s="12">
        <v>45301</v>
      </c>
      <c r="I326" t="s">
        <v>21</v>
      </c>
      <c r="J326" t="s">
        <v>22</v>
      </c>
      <c r="K326" t="s">
        <v>23</v>
      </c>
      <c r="L326" t="s">
        <v>96</v>
      </c>
      <c r="M326" t="s">
        <v>47</v>
      </c>
      <c r="N326" t="s">
        <v>26</v>
      </c>
      <c r="O326">
        <v>6000</v>
      </c>
      <c r="P326" t="s">
        <v>18</v>
      </c>
      <c r="Q326" t="s">
        <v>884</v>
      </c>
      <c r="R326">
        <v>2024</v>
      </c>
      <c r="S326">
        <v>1</v>
      </c>
    </row>
    <row r="327" spans="1:19" x14ac:dyDescent="0.25">
      <c r="A327" t="s">
        <v>691</v>
      </c>
      <c r="B327" t="s">
        <v>60</v>
      </c>
      <c r="C327" t="s">
        <v>36</v>
      </c>
      <c r="D327" t="s">
        <v>18</v>
      </c>
      <c r="E327" t="s">
        <v>75</v>
      </c>
      <c r="F327" t="s">
        <v>31</v>
      </c>
      <c r="G327" s="11">
        <v>45481</v>
      </c>
      <c r="H327" s="12">
        <v>45301</v>
      </c>
      <c r="I327" t="s">
        <v>21</v>
      </c>
      <c r="J327" t="s">
        <v>22</v>
      </c>
      <c r="K327" t="s">
        <v>38</v>
      </c>
      <c r="L327" t="s">
        <v>96</v>
      </c>
      <c r="M327" t="s">
        <v>47</v>
      </c>
      <c r="N327" t="s">
        <v>26</v>
      </c>
      <c r="O327">
        <v>6000</v>
      </c>
      <c r="P327" t="s">
        <v>18</v>
      </c>
      <c r="Q327" t="s">
        <v>884</v>
      </c>
      <c r="R327">
        <v>2024</v>
      </c>
      <c r="S327">
        <v>1</v>
      </c>
    </row>
    <row r="328" spans="1:19" x14ac:dyDescent="0.25">
      <c r="A328" t="s">
        <v>692</v>
      </c>
      <c r="B328" t="s">
        <v>693</v>
      </c>
      <c r="C328" t="s">
        <v>36</v>
      </c>
      <c r="D328" t="s">
        <v>18</v>
      </c>
      <c r="E328" t="s">
        <v>75</v>
      </c>
      <c r="F328" t="s">
        <v>31</v>
      </c>
      <c r="G328" s="11">
        <v>45481</v>
      </c>
      <c r="H328" s="12">
        <v>45301</v>
      </c>
      <c r="I328" t="s">
        <v>81</v>
      </c>
      <c r="J328" t="s">
        <v>22</v>
      </c>
      <c r="K328" t="s">
        <v>115</v>
      </c>
      <c r="L328" t="s">
        <v>220</v>
      </c>
      <c r="M328" t="s">
        <v>25</v>
      </c>
      <c r="N328" t="s">
        <v>26</v>
      </c>
      <c r="O328">
        <v>6000</v>
      </c>
      <c r="P328" t="s">
        <v>18</v>
      </c>
      <c r="Q328" t="s">
        <v>884</v>
      </c>
      <c r="R328">
        <v>2024</v>
      </c>
      <c r="S328">
        <v>1</v>
      </c>
    </row>
    <row r="329" spans="1:19" x14ac:dyDescent="0.25">
      <c r="A329" t="s">
        <v>694</v>
      </c>
      <c r="B329" t="s">
        <v>695</v>
      </c>
      <c r="C329" t="s">
        <v>36</v>
      </c>
      <c r="D329" t="s">
        <v>18</v>
      </c>
      <c r="E329" t="s">
        <v>75</v>
      </c>
      <c r="F329" t="s">
        <v>31</v>
      </c>
      <c r="G329" s="11">
        <v>45481</v>
      </c>
      <c r="H329" s="12">
        <v>45301</v>
      </c>
      <c r="I329" t="s">
        <v>21</v>
      </c>
      <c r="J329" t="s">
        <v>22</v>
      </c>
      <c r="K329" t="s">
        <v>38</v>
      </c>
      <c r="L329" t="s">
        <v>696</v>
      </c>
      <c r="M329" t="s">
        <v>47</v>
      </c>
      <c r="N329" t="s">
        <v>26</v>
      </c>
      <c r="O329">
        <v>6000</v>
      </c>
      <c r="P329" t="s">
        <v>18</v>
      </c>
      <c r="Q329" t="s">
        <v>884</v>
      </c>
      <c r="R329">
        <v>2024</v>
      </c>
      <c r="S329">
        <v>1</v>
      </c>
    </row>
    <row r="330" spans="1:19" x14ac:dyDescent="0.25">
      <c r="A330" t="s">
        <v>697</v>
      </c>
      <c r="B330" t="s">
        <v>698</v>
      </c>
      <c r="C330" t="s">
        <v>44</v>
      </c>
      <c r="D330" t="s">
        <v>18</v>
      </c>
      <c r="E330" t="s">
        <v>75</v>
      </c>
      <c r="F330" t="s">
        <v>31</v>
      </c>
      <c r="G330" s="11">
        <v>45481</v>
      </c>
      <c r="H330" s="12">
        <v>45301</v>
      </c>
      <c r="I330" t="s">
        <v>21</v>
      </c>
      <c r="J330" t="s">
        <v>22</v>
      </c>
      <c r="K330" t="s">
        <v>38</v>
      </c>
      <c r="L330" t="s">
        <v>24</v>
      </c>
      <c r="M330" t="s">
        <v>25</v>
      </c>
      <c r="N330" t="s">
        <v>26</v>
      </c>
      <c r="O330">
        <v>6000</v>
      </c>
      <c r="P330" t="s">
        <v>18</v>
      </c>
      <c r="Q330" t="s">
        <v>884</v>
      </c>
      <c r="R330">
        <v>2024</v>
      </c>
      <c r="S330">
        <v>1</v>
      </c>
    </row>
    <row r="331" spans="1:19" x14ac:dyDescent="0.25">
      <c r="A331" t="s">
        <v>699</v>
      </c>
      <c r="B331" t="s">
        <v>456</v>
      </c>
      <c r="C331" t="s">
        <v>44</v>
      </c>
      <c r="D331" t="s">
        <v>18</v>
      </c>
      <c r="E331" t="s">
        <v>75</v>
      </c>
      <c r="F331" t="s">
        <v>31</v>
      </c>
      <c r="G331" s="11">
        <v>45481</v>
      </c>
      <c r="H331" s="12">
        <v>45301</v>
      </c>
      <c r="I331" t="s">
        <v>21</v>
      </c>
      <c r="J331" t="s">
        <v>22</v>
      </c>
      <c r="K331" t="s">
        <v>23</v>
      </c>
      <c r="L331" t="s">
        <v>24</v>
      </c>
      <c r="M331" t="s">
        <v>25</v>
      </c>
      <c r="N331" t="s">
        <v>26</v>
      </c>
      <c r="O331">
        <v>6000</v>
      </c>
      <c r="P331" t="s">
        <v>18</v>
      </c>
      <c r="Q331" t="s">
        <v>884</v>
      </c>
      <c r="R331">
        <v>2024</v>
      </c>
      <c r="S331">
        <v>1</v>
      </c>
    </row>
    <row r="332" spans="1:19" x14ac:dyDescent="0.25">
      <c r="A332" t="s">
        <v>700</v>
      </c>
      <c r="B332" t="s">
        <v>701</v>
      </c>
      <c r="C332" t="s">
        <v>44</v>
      </c>
      <c r="D332" t="s">
        <v>18</v>
      </c>
      <c r="E332" t="s">
        <v>75</v>
      </c>
      <c r="F332" t="s">
        <v>31</v>
      </c>
      <c r="G332" s="11">
        <v>45481</v>
      </c>
      <c r="H332" s="12">
        <v>45301</v>
      </c>
      <c r="I332" t="s">
        <v>21</v>
      </c>
      <c r="J332" t="s">
        <v>22</v>
      </c>
      <c r="K332" t="s">
        <v>23</v>
      </c>
      <c r="L332" t="s">
        <v>24</v>
      </c>
      <c r="M332" t="s">
        <v>25</v>
      </c>
      <c r="N332" t="s">
        <v>26</v>
      </c>
      <c r="O332">
        <v>6000</v>
      </c>
      <c r="P332" t="s">
        <v>18</v>
      </c>
      <c r="Q332" t="s">
        <v>884</v>
      </c>
      <c r="R332">
        <v>2024</v>
      </c>
      <c r="S332">
        <v>1</v>
      </c>
    </row>
    <row r="333" spans="1:19" x14ac:dyDescent="0.25">
      <c r="A333" t="s">
        <v>702</v>
      </c>
      <c r="B333" t="s">
        <v>703</v>
      </c>
      <c r="C333" t="s">
        <v>36</v>
      </c>
      <c r="D333" t="s">
        <v>18</v>
      </c>
      <c r="E333" t="s">
        <v>75</v>
      </c>
      <c r="F333" t="s">
        <v>31</v>
      </c>
      <c r="G333" s="11">
        <v>45481</v>
      </c>
      <c r="H333" s="12">
        <v>45301</v>
      </c>
      <c r="I333" t="s">
        <v>81</v>
      </c>
      <c r="J333" t="s">
        <v>22</v>
      </c>
      <c r="K333" t="s">
        <v>115</v>
      </c>
      <c r="L333" t="s">
        <v>24</v>
      </c>
      <c r="M333" t="s">
        <v>25</v>
      </c>
      <c r="N333" t="s">
        <v>26</v>
      </c>
      <c r="O333">
        <v>6000</v>
      </c>
      <c r="P333" t="s">
        <v>18</v>
      </c>
      <c r="Q333" t="s">
        <v>884</v>
      </c>
      <c r="R333">
        <v>2024</v>
      </c>
      <c r="S333">
        <v>1</v>
      </c>
    </row>
    <row r="334" spans="1:19" x14ac:dyDescent="0.25">
      <c r="A334" t="s">
        <v>704</v>
      </c>
      <c r="B334" t="s">
        <v>93</v>
      </c>
      <c r="C334" t="s">
        <v>205</v>
      </c>
      <c r="D334" t="s">
        <v>169</v>
      </c>
      <c r="E334" t="s">
        <v>30</v>
      </c>
      <c r="F334" t="s">
        <v>31</v>
      </c>
      <c r="G334" s="11">
        <v>45482</v>
      </c>
      <c r="H334" s="12">
        <v>45302</v>
      </c>
      <c r="I334" t="s">
        <v>21</v>
      </c>
      <c r="J334" t="s">
        <v>37</v>
      </c>
      <c r="K334" t="s">
        <v>58</v>
      </c>
      <c r="L334" t="s">
        <v>24</v>
      </c>
      <c r="M334" t="s">
        <v>25</v>
      </c>
      <c r="N334" t="s">
        <v>26</v>
      </c>
      <c r="O334">
        <v>6000</v>
      </c>
      <c r="P334" t="s">
        <v>872</v>
      </c>
      <c r="Q334" t="s">
        <v>884</v>
      </c>
      <c r="R334">
        <v>2024</v>
      </c>
      <c r="S334">
        <v>1</v>
      </c>
    </row>
    <row r="335" spans="1:19" x14ac:dyDescent="0.25">
      <c r="A335" t="s">
        <v>705</v>
      </c>
      <c r="B335" t="s">
        <v>706</v>
      </c>
      <c r="C335" t="s">
        <v>17</v>
      </c>
      <c r="D335" t="s">
        <v>18</v>
      </c>
      <c r="E335" t="s">
        <v>75</v>
      </c>
      <c r="F335" t="s">
        <v>31</v>
      </c>
      <c r="G335" s="11">
        <v>45482</v>
      </c>
      <c r="H335" s="12">
        <v>45302</v>
      </c>
      <c r="I335" t="s">
        <v>21</v>
      </c>
      <c r="J335" t="s">
        <v>22</v>
      </c>
      <c r="K335" t="s">
        <v>23</v>
      </c>
      <c r="L335" t="s">
        <v>191</v>
      </c>
      <c r="M335" t="s">
        <v>40</v>
      </c>
      <c r="N335" t="s">
        <v>26</v>
      </c>
      <c r="O335">
        <v>6000</v>
      </c>
      <c r="P335" t="s">
        <v>18</v>
      </c>
      <c r="Q335" t="s">
        <v>884</v>
      </c>
      <c r="R335">
        <v>2024</v>
      </c>
      <c r="S335">
        <v>1</v>
      </c>
    </row>
    <row r="336" spans="1:19" x14ac:dyDescent="0.25">
      <c r="A336" t="s">
        <v>707</v>
      </c>
      <c r="B336" t="s">
        <v>708</v>
      </c>
      <c r="C336" t="s">
        <v>44</v>
      </c>
      <c r="D336" t="s">
        <v>18</v>
      </c>
      <c r="E336" t="s">
        <v>75</v>
      </c>
      <c r="F336" t="s">
        <v>31</v>
      </c>
      <c r="G336" s="11">
        <v>45482</v>
      </c>
      <c r="H336" s="12">
        <v>45302</v>
      </c>
      <c r="I336" t="s">
        <v>21</v>
      </c>
      <c r="J336" t="s">
        <v>22</v>
      </c>
      <c r="K336" t="s">
        <v>23</v>
      </c>
      <c r="L336" t="s">
        <v>24</v>
      </c>
      <c r="M336" t="s">
        <v>25</v>
      </c>
      <c r="N336" t="s">
        <v>26</v>
      </c>
      <c r="O336">
        <v>6000</v>
      </c>
      <c r="P336" t="s">
        <v>18</v>
      </c>
      <c r="Q336" t="s">
        <v>884</v>
      </c>
      <c r="R336">
        <v>2024</v>
      </c>
      <c r="S336">
        <v>1</v>
      </c>
    </row>
    <row r="337" spans="1:19" x14ac:dyDescent="0.25">
      <c r="A337" t="s">
        <v>709</v>
      </c>
      <c r="B337" t="s">
        <v>710</v>
      </c>
      <c r="C337" t="s">
        <v>17</v>
      </c>
      <c r="D337" t="s">
        <v>18</v>
      </c>
      <c r="E337" t="s">
        <v>75</v>
      </c>
      <c r="F337" t="s">
        <v>31</v>
      </c>
      <c r="G337" s="11">
        <v>45482</v>
      </c>
      <c r="H337" s="12">
        <v>45302</v>
      </c>
      <c r="I337" t="s">
        <v>81</v>
      </c>
      <c r="J337" t="s">
        <v>37</v>
      </c>
      <c r="K337" t="s">
        <v>38</v>
      </c>
      <c r="L337" t="s">
        <v>24</v>
      </c>
      <c r="M337" t="s">
        <v>25</v>
      </c>
      <c r="N337" t="s">
        <v>26</v>
      </c>
      <c r="O337">
        <v>6000</v>
      </c>
      <c r="P337" t="s">
        <v>18</v>
      </c>
      <c r="Q337" t="s">
        <v>884</v>
      </c>
      <c r="R337">
        <v>2024</v>
      </c>
      <c r="S337">
        <v>1</v>
      </c>
    </row>
    <row r="338" spans="1:19" x14ac:dyDescent="0.25">
      <c r="A338" t="s">
        <v>711</v>
      </c>
      <c r="B338" t="s">
        <v>712</v>
      </c>
      <c r="C338" t="s">
        <v>36</v>
      </c>
      <c r="D338" t="s">
        <v>18</v>
      </c>
      <c r="E338" t="s">
        <v>75</v>
      </c>
      <c r="F338" t="s">
        <v>31</v>
      </c>
      <c r="G338" s="11">
        <v>45482</v>
      </c>
      <c r="H338" s="12">
        <v>45302</v>
      </c>
      <c r="I338" t="s">
        <v>81</v>
      </c>
      <c r="J338" t="s">
        <v>22</v>
      </c>
      <c r="K338" t="s">
        <v>23</v>
      </c>
      <c r="L338" t="s">
        <v>191</v>
      </c>
      <c r="M338" t="s">
        <v>40</v>
      </c>
      <c r="N338" t="s">
        <v>26</v>
      </c>
      <c r="O338">
        <v>6000</v>
      </c>
      <c r="P338" t="s">
        <v>18</v>
      </c>
      <c r="Q338" t="s">
        <v>884</v>
      </c>
      <c r="R338">
        <v>2024</v>
      </c>
      <c r="S338">
        <v>1</v>
      </c>
    </row>
    <row r="339" spans="1:19" x14ac:dyDescent="0.25">
      <c r="A339" t="s">
        <v>713</v>
      </c>
      <c r="B339" t="s">
        <v>714</v>
      </c>
      <c r="C339" t="s">
        <v>36</v>
      </c>
      <c r="D339" t="s">
        <v>18</v>
      </c>
      <c r="E339" t="s">
        <v>75</v>
      </c>
      <c r="F339" t="s">
        <v>31</v>
      </c>
      <c r="G339" s="11">
        <v>45482</v>
      </c>
      <c r="H339" s="12">
        <v>45302</v>
      </c>
      <c r="I339" t="s">
        <v>81</v>
      </c>
      <c r="J339" t="s">
        <v>22</v>
      </c>
      <c r="K339" t="s">
        <v>32</v>
      </c>
      <c r="L339" t="s">
        <v>225</v>
      </c>
      <c r="M339" t="s">
        <v>47</v>
      </c>
      <c r="N339" t="s">
        <v>26</v>
      </c>
      <c r="O339">
        <v>6000</v>
      </c>
      <c r="P339" t="s">
        <v>18</v>
      </c>
      <c r="Q339" t="s">
        <v>884</v>
      </c>
      <c r="R339">
        <v>2024</v>
      </c>
      <c r="S339">
        <v>1</v>
      </c>
    </row>
    <row r="340" spans="1:19" x14ac:dyDescent="0.25">
      <c r="A340" t="s">
        <v>715</v>
      </c>
      <c r="B340" t="s">
        <v>716</v>
      </c>
      <c r="C340" t="s">
        <v>36</v>
      </c>
      <c r="D340" t="s">
        <v>18</v>
      </c>
      <c r="E340" t="s">
        <v>75</v>
      </c>
      <c r="F340" t="s">
        <v>31</v>
      </c>
      <c r="G340" s="11">
        <v>45483</v>
      </c>
      <c r="H340" s="12">
        <v>45303</v>
      </c>
      <c r="I340" t="s">
        <v>81</v>
      </c>
      <c r="J340" t="s">
        <v>22</v>
      </c>
      <c r="K340" t="s">
        <v>23</v>
      </c>
      <c r="L340" t="s">
        <v>24</v>
      </c>
      <c r="M340" t="s">
        <v>25</v>
      </c>
      <c r="N340" t="s">
        <v>26</v>
      </c>
      <c r="O340">
        <v>6000</v>
      </c>
      <c r="P340" t="s">
        <v>18</v>
      </c>
      <c r="Q340" t="s">
        <v>884</v>
      </c>
      <c r="R340">
        <v>2024</v>
      </c>
      <c r="S340">
        <v>1</v>
      </c>
    </row>
    <row r="341" spans="1:19" x14ac:dyDescent="0.25">
      <c r="A341" t="s">
        <v>717</v>
      </c>
      <c r="B341" t="s">
        <v>718</v>
      </c>
      <c r="C341" t="s">
        <v>36</v>
      </c>
      <c r="D341" t="s">
        <v>18</v>
      </c>
      <c r="E341" t="s">
        <v>75</v>
      </c>
      <c r="F341" t="s">
        <v>31</v>
      </c>
      <c r="G341" s="11">
        <v>45483</v>
      </c>
      <c r="H341" s="12">
        <v>45303</v>
      </c>
      <c r="I341" t="s">
        <v>21</v>
      </c>
      <c r="J341" t="s">
        <v>22</v>
      </c>
      <c r="K341" t="s">
        <v>32</v>
      </c>
      <c r="L341" t="s">
        <v>24</v>
      </c>
      <c r="M341" t="s">
        <v>25</v>
      </c>
      <c r="N341" t="s">
        <v>26</v>
      </c>
      <c r="O341">
        <v>6000</v>
      </c>
      <c r="P341" t="s">
        <v>18</v>
      </c>
      <c r="Q341" t="s">
        <v>884</v>
      </c>
      <c r="R341">
        <v>2024</v>
      </c>
      <c r="S341">
        <v>1</v>
      </c>
    </row>
    <row r="342" spans="1:19" x14ac:dyDescent="0.25">
      <c r="A342" t="s">
        <v>719</v>
      </c>
      <c r="B342" t="s">
        <v>720</v>
      </c>
      <c r="C342" t="s">
        <v>205</v>
      </c>
      <c r="D342" t="s">
        <v>199</v>
      </c>
      <c r="E342" t="s">
        <v>75</v>
      </c>
      <c r="F342" t="s">
        <v>31</v>
      </c>
      <c r="G342" s="11">
        <v>45483</v>
      </c>
      <c r="H342" s="12">
        <v>45303</v>
      </c>
      <c r="I342" t="s">
        <v>21</v>
      </c>
      <c r="J342" t="s">
        <v>22</v>
      </c>
      <c r="K342" t="s">
        <v>38</v>
      </c>
      <c r="L342" t="s">
        <v>24</v>
      </c>
      <c r="M342" t="s">
        <v>25</v>
      </c>
      <c r="N342" t="s">
        <v>26</v>
      </c>
      <c r="O342">
        <v>6000</v>
      </c>
      <c r="P342" t="s">
        <v>872</v>
      </c>
      <c r="Q342" t="s">
        <v>884</v>
      </c>
      <c r="R342">
        <v>2024</v>
      </c>
      <c r="S342">
        <v>1</v>
      </c>
    </row>
    <row r="343" spans="1:19" x14ac:dyDescent="0.25">
      <c r="A343" t="s">
        <v>721</v>
      </c>
      <c r="B343" t="s">
        <v>722</v>
      </c>
      <c r="C343" t="s">
        <v>44</v>
      </c>
      <c r="D343" t="s">
        <v>18</v>
      </c>
      <c r="E343" t="s">
        <v>75</v>
      </c>
      <c r="F343" t="s">
        <v>31</v>
      </c>
      <c r="G343" s="11">
        <v>45483</v>
      </c>
      <c r="H343" s="12">
        <v>45303</v>
      </c>
      <c r="I343" t="s">
        <v>21</v>
      </c>
      <c r="J343" t="s">
        <v>22</v>
      </c>
      <c r="K343" t="s">
        <v>32</v>
      </c>
      <c r="L343" t="s">
        <v>24</v>
      </c>
      <c r="M343" t="s">
        <v>25</v>
      </c>
      <c r="N343" t="s">
        <v>26</v>
      </c>
      <c r="O343">
        <v>6000</v>
      </c>
      <c r="P343" t="s">
        <v>18</v>
      </c>
      <c r="Q343" t="s">
        <v>884</v>
      </c>
      <c r="R343">
        <v>2024</v>
      </c>
      <c r="S343">
        <v>1</v>
      </c>
    </row>
    <row r="344" spans="1:19" x14ac:dyDescent="0.25">
      <c r="A344" t="s">
        <v>723</v>
      </c>
      <c r="B344" t="s">
        <v>724</v>
      </c>
      <c r="C344" t="s">
        <v>17</v>
      </c>
      <c r="D344" t="s">
        <v>18</v>
      </c>
      <c r="E344" t="s">
        <v>75</v>
      </c>
      <c r="F344" t="s">
        <v>31</v>
      </c>
      <c r="G344" s="11">
        <v>45484</v>
      </c>
      <c r="H344" s="12">
        <v>45304</v>
      </c>
      <c r="I344" t="s">
        <v>81</v>
      </c>
      <c r="J344" t="s">
        <v>22</v>
      </c>
      <c r="K344" t="s">
        <v>23</v>
      </c>
      <c r="L344" t="s">
        <v>24</v>
      </c>
      <c r="M344" t="s">
        <v>25</v>
      </c>
      <c r="N344" t="s">
        <v>26</v>
      </c>
      <c r="O344">
        <v>6000</v>
      </c>
      <c r="P344" t="s">
        <v>18</v>
      </c>
      <c r="Q344" t="s">
        <v>884</v>
      </c>
      <c r="R344">
        <v>2024</v>
      </c>
      <c r="S344">
        <v>1</v>
      </c>
    </row>
    <row r="345" spans="1:19" x14ac:dyDescent="0.25">
      <c r="A345" t="s">
        <v>725</v>
      </c>
      <c r="B345" t="s">
        <v>726</v>
      </c>
      <c r="C345" t="s">
        <v>17</v>
      </c>
      <c r="D345" t="s">
        <v>18</v>
      </c>
      <c r="E345" t="s">
        <v>75</v>
      </c>
      <c r="F345" t="s">
        <v>31</v>
      </c>
      <c r="G345" s="11">
        <v>45484</v>
      </c>
      <c r="H345" s="12">
        <v>45304</v>
      </c>
      <c r="I345" t="s">
        <v>21</v>
      </c>
      <c r="J345" t="s">
        <v>22</v>
      </c>
      <c r="K345" t="s">
        <v>32</v>
      </c>
      <c r="L345" t="s">
        <v>24</v>
      </c>
      <c r="M345" t="s">
        <v>25</v>
      </c>
      <c r="N345" t="s">
        <v>26</v>
      </c>
      <c r="O345">
        <v>6000</v>
      </c>
      <c r="P345" t="s">
        <v>18</v>
      </c>
      <c r="Q345" t="s">
        <v>884</v>
      </c>
      <c r="R345">
        <v>2024</v>
      </c>
      <c r="S345">
        <v>1</v>
      </c>
    </row>
    <row r="346" spans="1:19" x14ac:dyDescent="0.25">
      <c r="A346" t="s">
        <v>727</v>
      </c>
      <c r="B346" t="s">
        <v>728</v>
      </c>
      <c r="C346" t="s">
        <v>205</v>
      </c>
      <c r="D346" t="s">
        <v>18</v>
      </c>
      <c r="E346" t="s">
        <v>75</v>
      </c>
      <c r="F346" t="s">
        <v>31</v>
      </c>
      <c r="G346" s="11">
        <v>45484</v>
      </c>
      <c r="H346" s="12">
        <v>45304</v>
      </c>
      <c r="I346" t="s">
        <v>21</v>
      </c>
      <c r="J346" t="s">
        <v>22</v>
      </c>
      <c r="K346" t="s">
        <v>38</v>
      </c>
      <c r="L346" t="s">
        <v>24</v>
      </c>
      <c r="M346" t="s">
        <v>25</v>
      </c>
      <c r="N346" t="s">
        <v>26</v>
      </c>
      <c r="O346">
        <v>6000</v>
      </c>
      <c r="P346" t="s">
        <v>18</v>
      </c>
      <c r="Q346" t="s">
        <v>884</v>
      </c>
      <c r="R346">
        <v>2024</v>
      </c>
      <c r="S346">
        <v>1</v>
      </c>
    </row>
    <row r="347" spans="1:19" x14ac:dyDescent="0.25">
      <c r="A347" t="s">
        <v>729</v>
      </c>
      <c r="B347" t="s">
        <v>730</v>
      </c>
      <c r="C347" t="s">
        <v>44</v>
      </c>
      <c r="D347" t="s">
        <v>18</v>
      </c>
      <c r="E347" t="s">
        <v>75</v>
      </c>
      <c r="F347" t="s">
        <v>31</v>
      </c>
      <c r="G347" s="11">
        <v>45484</v>
      </c>
      <c r="H347" s="12">
        <v>45304</v>
      </c>
      <c r="I347" t="s">
        <v>21</v>
      </c>
      <c r="J347" t="s">
        <v>22</v>
      </c>
      <c r="K347" t="s">
        <v>23</v>
      </c>
      <c r="L347" t="s">
        <v>24</v>
      </c>
      <c r="M347" t="s">
        <v>25</v>
      </c>
      <c r="N347" t="s">
        <v>26</v>
      </c>
      <c r="O347">
        <v>6000</v>
      </c>
      <c r="P347" t="s">
        <v>18</v>
      </c>
      <c r="Q347" t="s">
        <v>884</v>
      </c>
      <c r="R347">
        <v>2024</v>
      </c>
      <c r="S347">
        <v>1</v>
      </c>
    </row>
    <row r="348" spans="1:19" x14ac:dyDescent="0.25">
      <c r="A348" t="s">
        <v>731</v>
      </c>
      <c r="B348" t="s">
        <v>732</v>
      </c>
      <c r="C348" t="s">
        <v>36</v>
      </c>
      <c r="D348" t="s">
        <v>18</v>
      </c>
      <c r="E348" t="s">
        <v>75</v>
      </c>
      <c r="F348" t="s">
        <v>31</v>
      </c>
      <c r="G348" s="11">
        <v>45484</v>
      </c>
      <c r="H348" s="12">
        <v>45304</v>
      </c>
      <c r="I348" t="s">
        <v>21</v>
      </c>
      <c r="J348" t="s">
        <v>22</v>
      </c>
      <c r="K348" t="s">
        <v>38</v>
      </c>
      <c r="L348" t="s">
        <v>225</v>
      </c>
      <c r="M348" t="s">
        <v>47</v>
      </c>
      <c r="N348" t="s">
        <v>26</v>
      </c>
      <c r="O348">
        <v>6000</v>
      </c>
      <c r="P348" t="s">
        <v>18</v>
      </c>
      <c r="Q348" t="s">
        <v>884</v>
      </c>
      <c r="R348">
        <v>2024</v>
      </c>
      <c r="S348">
        <v>1</v>
      </c>
    </row>
    <row r="349" spans="1:19" x14ac:dyDescent="0.25">
      <c r="A349" t="s">
        <v>733</v>
      </c>
      <c r="B349" t="s">
        <v>734</v>
      </c>
      <c r="C349" t="s">
        <v>44</v>
      </c>
      <c r="D349" t="s">
        <v>18</v>
      </c>
      <c r="E349" t="s">
        <v>75</v>
      </c>
      <c r="F349" t="s">
        <v>31</v>
      </c>
      <c r="G349" s="11">
        <v>45484</v>
      </c>
      <c r="H349" s="12">
        <v>45304</v>
      </c>
      <c r="I349" t="s">
        <v>21</v>
      </c>
      <c r="J349" t="s">
        <v>22</v>
      </c>
      <c r="K349" t="s">
        <v>38</v>
      </c>
      <c r="L349" t="s">
        <v>119</v>
      </c>
      <c r="M349" t="s">
        <v>25</v>
      </c>
      <c r="N349" t="s">
        <v>26</v>
      </c>
      <c r="O349">
        <v>6000</v>
      </c>
      <c r="P349" t="s">
        <v>18</v>
      </c>
      <c r="Q349" t="s">
        <v>884</v>
      </c>
      <c r="R349">
        <v>2024</v>
      </c>
      <c r="S349">
        <v>1</v>
      </c>
    </row>
    <row r="350" spans="1:19" x14ac:dyDescent="0.25">
      <c r="A350" t="s">
        <v>735</v>
      </c>
      <c r="B350" t="s">
        <v>736</v>
      </c>
      <c r="C350" t="s">
        <v>36</v>
      </c>
      <c r="D350" t="s">
        <v>18</v>
      </c>
      <c r="E350" t="s">
        <v>75</v>
      </c>
      <c r="F350" t="s">
        <v>31</v>
      </c>
      <c r="G350" s="11">
        <v>45484</v>
      </c>
      <c r="H350" s="12">
        <v>45304</v>
      </c>
      <c r="I350" t="s">
        <v>21</v>
      </c>
      <c r="J350" t="s">
        <v>22</v>
      </c>
      <c r="K350" t="s">
        <v>38</v>
      </c>
      <c r="L350" t="s">
        <v>282</v>
      </c>
      <c r="M350" t="s">
        <v>283</v>
      </c>
      <c r="N350" t="s">
        <v>26</v>
      </c>
      <c r="O350">
        <v>6000</v>
      </c>
      <c r="P350" t="s">
        <v>18</v>
      </c>
      <c r="Q350" t="s">
        <v>884</v>
      </c>
      <c r="R350">
        <v>2024</v>
      </c>
      <c r="S350">
        <v>1</v>
      </c>
    </row>
    <row r="351" spans="1:19" x14ac:dyDescent="0.25">
      <c r="A351" t="s">
        <v>737</v>
      </c>
      <c r="B351" t="s">
        <v>738</v>
      </c>
      <c r="C351" t="s">
        <v>36</v>
      </c>
      <c r="D351" t="s">
        <v>18</v>
      </c>
      <c r="E351" t="s">
        <v>75</v>
      </c>
      <c r="F351" t="s">
        <v>31</v>
      </c>
      <c r="G351" s="11">
        <v>45485</v>
      </c>
      <c r="H351" s="12">
        <v>45305</v>
      </c>
      <c r="I351" t="s">
        <v>21</v>
      </c>
      <c r="J351" t="s">
        <v>22</v>
      </c>
      <c r="K351" t="s">
        <v>23</v>
      </c>
      <c r="L351" t="s">
        <v>172</v>
      </c>
      <c r="M351" t="s">
        <v>51</v>
      </c>
      <c r="N351" t="s">
        <v>26</v>
      </c>
      <c r="O351">
        <v>6000</v>
      </c>
      <c r="P351" t="s">
        <v>18</v>
      </c>
      <c r="Q351" t="s">
        <v>884</v>
      </c>
      <c r="R351">
        <v>2024</v>
      </c>
      <c r="S351">
        <v>1</v>
      </c>
    </row>
    <row r="352" spans="1:19" x14ac:dyDescent="0.25">
      <c r="A352" t="s">
        <v>739</v>
      </c>
      <c r="B352" t="s">
        <v>740</v>
      </c>
      <c r="C352" t="s">
        <v>36</v>
      </c>
      <c r="D352" t="s">
        <v>18</v>
      </c>
      <c r="E352" t="s">
        <v>75</v>
      </c>
      <c r="F352" t="s">
        <v>31</v>
      </c>
      <c r="G352" s="11">
        <v>45487</v>
      </c>
      <c r="H352" s="12">
        <v>45307</v>
      </c>
      <c r="I352" t="s">
        <v>81</v>
      </c>
      <c r="J352" t="s">
        <v>37</v>
      </c>
      <c r="K352" t="s">
        <v>23</v>
      </c>
      <c r="L352" t="s">
        <v>24</v>
      </c>
      <c r="M352" t="s">
        <v>25</v>
      </c>
      <c r="N352" t="s">
        <v>26</v>
      </c>
      <c r="O352">
        <v>6000</v>
      </c>
      <c r="P352" t="s">
        <v>18</v>
      </c>
      <c r="Q352" t="s">
        <v>884</v>
      </c>
      <c r="R352">
        <v>2024</v>
      </c>
      <c r="S352">
        <v>1</v>
      </c>
    </row>
    <row r="353" spans="1:19" x14ac:dyDescent="0.25">
      <c r="A353" t="s">
        <v>741</v>
      </c>
      <c r="B353" t="s">
        <v>742</v>
      </c>
      <c r="C353" t="s">
        <v>36</v>
      </c>
      <c r="D353" t="s">
        <v>18</v>
      </c>
      <c r="E353" t="s">
        <v>75</v>
      </c>
      <c r="F353" t="s">
        <v>31</v>
      </c>
      <c r="G353" s="11">
        <v>45488</v>
      </c>
      <c r="H353" s="12">
        <v>45308</v>
      </c>
      <c r="I353" t="s">
        <v>81</v>
      </c>
      <c r="J353" t="s">
        <v>22</v>
      </c>
      <c r="K353" t="s">
        <v>58</v>
      </c>
      <c r="L353" t="s">
        <v>220</v>
      </c>
      <c r="M353" t="s">
        <v>25</v>
      </c>
      <c r="N353" t="s">
        <v>26</v>
      </c>
      <c r="O353">
        <v>6000</v>
      </c>
      <c r="P353" t="s">
        <v>18</v>
      </c>
      <c r="Q353" t="s">
        <v>884</v>
      </c>
      <c r="R353">
        <v>2024</v>
      </c>
      <c r="S353">
        <v>1</v>
      </c>
    </row>
    <row r="354" spans="1:19" x14ac:dyDescent="0.25">
      <c r="A354" t="s">
        <v>743</v>
      </c>
      <c r="B354" t="s">
        <v>744</v>
      </c>
      <c r="C354" t="s">
        <v>205</v>
      </c>
      <c r="D354" t="s">
        <v>18</v>
      </c>
      <c r="E354" t="s">
        <v>75</v>
      </c>
      <c r="F354" t="s">
        <v>31</v>
      </c>
      <c r="G354" s="11">
        <v>45488</v>
      </c>
      <c r="H354" s="12">
        <v>45308</v>
      </c>
      <c r="I354" t="s">
        <v>21</v>
      </c>
      <c r="J354" t="s">
        <v>22</v>
      </c>
      <c r="K354" t="s">
        <v>23</v>
      </c>
      <c r="L354" t="s">
        <v>24</v>
      </c>
      <c r="M354" t="s">
        <v>25</v>
      </c>
      <c r="N354" t="s">
        <v>26</v>
      </c>
      <c r="O354">
        <v>6000</v>
      </c>
      <c r="P354" t="s">
        <v>18</v>
      </c>
      <c r="Q354" t="s">
        <v>884</v>
      </c>
      <c r="R354">
        <v>2024</v>
      </c>
      <c r="S354">
        <v>1</v>
      </c>
    </row>
    <row r="355" spans="1:19" x14ac:dyDescent="0.25">
      <c r="A355" t="s">
        <v>745</v>
      </c>
      <c r="B355" t="s">
        <v>746</v>
      </c>
      <c r="C355" t="s">
        <v>44</v>
      </c>
      <c r="D355" t="s">
        <v>18</v>
      </c>
      <c r="E355" t="s">
        <v>75</v>
      </c>
      <c r="F355" t="s">
        <v>31</v>
      </c>
      <c r="G355" s="11">
        <v>45488</v>
      </c>
      <c r="H355" s="12">
        <v>45308</v>
      </c>
      <c r="I355" t="s">
        <v>21</v>
      </c>
      <c r="J355" t="s">
        <v>22</v>
      </c>
      <c r="K355" t="s">
        <v>115</v>
      </c>
      <c r="L355" t="s">
        <v>220</v>
      </c>
      <c r="M355" t="s">
        <v>25</v>
      </c>
      <c r="N355" t="s">
        <v>26</v>
      </c>
      <c r="O355">
        <v>6000</v>
      </c>
      <c r="P355" t="s">
        <v>18</v>
      </c>
      <c r="Q355" t="s">
        <v>884</v>
      </c>
      <c r="R355">
        <v>2024</v>
      </c>
      <c r="S355">
        <v>1</v>
      </c>
    </row>
    <row r="356" spans="1:19" x14ac:dyDescent="0.25">
      <c r="A356" t="s">
        <v>747</v>
      </c>
      <c r="B356" t="s">
        <v>748</v>
      </c>
      <c r="C356" t="s">
        <v>17</v>
      </c>
      <c r="D356" t="s">
        <v>18</v>
      </c>
      <c r="E356" t="s">
        <v>75</v>
      </c>
      <c r="F356" t="s">
        <v>31</v>
      </c>
      <c r="G356" s="11">
        <v>45488</v>
      </c>
      <c r="H356" s="12">
        <v>45308</v>
      </c>
      <c r="I356" t="s">
        <v>21</v>
      </c>
      <c r="J356" t="s">
        <v>22</v>
      </c>
      <c r="K356" t="s">
        <v>38</v>
      </c>
      <c r="L356" t="s">
        <v>220</v>
      </c>
      <c r="M356" t="s">
        <v>25</v>
      </c>
      <c r="N356" t="s">
        <v>26</v>
      </c>
      <c r="O356">
        <v>6000</v>
      </c>
      <c r="P356" t="s">
        <v>18</v>
      </c>
      <c r="Q356" t="s">
        <v>884</v>
      </c>
      <c r="R356">
        <v>2024</v>
      </c>
      <c r="S356">
        <v>1</v>
      </c>
    </row>
    <row r="357" spans="1:19" x14ac:dyDescent="0.25">
      <c r="A357" t="s">
        <v>749</v>
      </c>
      <c r="B357" t="s">
        <v>750</v>
      </c>
      <c r="C357" t="s">
        <v>17</v>
      </c>
      <c r="D357" t="s">
        <v>18</v>
      </c>
      <c r="E357" t="s">
        <v>75</v>
      </c>
      <c r="F357" t="s">
        <v>31</v>
      </c>
      <c r="G357" s="11">
        <v>45488</v>
      </c>
      <c r="H357" s="12">
        <v>45308</v>
      </c>
      <c r="I357" t="s">
        <v>21</v>
      </c>
      <c r="J357" t="s">
        <v>22</v>
      </c>
      <c r="K357" t="s">
        <v>32</v>
      </c>
      <c r="L357" t="s">
        <v>96</v>
      </c>
      <c r="M357" t="s">
        <v>47</v>
      </c>
      <c r="N357" t="s">
        <v>26</v>
      </c>
      <c r="O357">
        <v>6000</v>
      </c>
      <c r="P357" t="s">
        <v>18</v>
      </c>
      <c r="Q357" t="s">
        <v>884</v>
      </c>
      <c r="R357">
        <v>2024</v>
      </c>
      <c r="S357">
        <v>1</v>
      </c>
    </row>
    <row r="358" spans="1:19" x14ac:dyDescent="0.25">
      <c r="A358" t="s">
        <v>751</v>
      </c>
      <c r="B358" t="s">
        <v>752</v>
      </c>
      <c r="C358" t="s">
        <v>205</v>
      </c>
      <c r="D358" t="s">
        <v>18</v>
      </c>
      <c r="E358" t="s">
        <v>75</v>
      </c>
      <c r="F358" t="s">
        <v>31</v>
      </c>
      <c r="G358" s="11">
        <v>45491</v>
      </c>
      <c r="H358" s="12">
        <v>45311</v>
      </c>
      <c r="I358" t="s">
        <v>21</v>
      </c>
      <c r="J358" t="s">
        <v>37</v>
      </c>
      <c r="K358" t="s">
        <v>72</v>
      </c>
      <c r="L358" t="s">
        <v>24</v>
      </c>
      <c r="M358" t="s">
        <v>25</v>
      </c>
      <c r="N358" t="s">
        <v>26</v>
      </c>
      <c r="O358">
        <v>6000</v>
      </c>
      <c r="P358" t="s">
        <v>18</v>
      </c>
      <c r="Q358" t="s">
        <v>884</v>
      </c>
      <c r="R358">
        <v>2024</v>
      </c>
      <c r="S358">
        <v>1</v>
      </c>
    </row>
    <row r="359" spans="1:19" x14ac:dyDescent="0.25">
      <c r="A359" t="s">
        <v>753</v>
      </c>
      <c r="B359" t="s">
        <v>754</v>
      </c>
      <c r="C359" t="s">
        <v>44</v>
      </c>
      <c r="D359" t="s">
        <v>18</v>
      </c>
      <c r="E359" t="s">
        <v>75</v>
      </c>
      <c r="F359" t="s">
        <v>31</v>
      </c>
      <c r="G359" s="11">
        <v>45492</v>
      </c>
      <c r="H359" s="12">
        <v>45312</v>
      </c>
      <c r="I359" t="s">
        <v>21</v>
      </c>
      <c r="J359" t="s">
        <v>22</v>
      </c>
      <c r="K359" t="s">
        <v>38</v>
      </c>
      <c r="L359" t="s">
        <v>24</v>
      </c>
      <c r="M359" t="s">
        <v>25</v>
      </c>
      <c r="N359" t="s">
        <v>26</v>
      </c>
      <c r="O359">
        <v>6000</v>
      </c>
      <c r="P359" t="s">
        <v>18</v>
      </c>
      <c r="Q359" t="s">
        <v>884</v>
      </c>
      <c r="R359">
        <v>2024</v>
      </c>
      <c r="S359">
        <v>1</v>
      </c>
    </row>
    <row r="360" spans="1:19" x14ac:dyDescent="0.25">
      <c r="A360" t="s">
        <v>755</v>
      </c>
      <c r="B360" t="s">
        <v>154</v>
      </c>
      <c r="C360" t="s">
        <v>36</v>
      </c>
      <c r="D360" t="s">
        <v>18</v>
      </c>
      <c r="E360" t="s">
        <v>75</v>
      </c>
      <c r="F360" t="s">
        <v>31</v>
      </c>
      <c r="G360" s="11">
        <v>45492</v>
      </c>
      <c r="H360" s="12">
        <v>45312</v>
      </c>
      <c r="I360" t="s">
        <v>21</v>
      </c>
      <c r="J360" t="s">
        <v>22</v>
      </c>
      <c r="K360" t="s">
        <v>38</v>
      </c>
      <c r="L360" t="s">
        <v>24</v>
      </c>
      <c r="M360" t="s">
        <v>25</v>
      </c>
      <c r="N360" t="s">
        <v>26</v>
      </c>
      <c r="O360">
        <v>6000</v>
      </c>
      <c r="P360" t="s">
        <v>18</v>
      </c>
      <c r="Q360" t="s">
        <v>884</v>
      </c>
      <c r="R360">
        <v>2024</v>
      </c>
      <c r="S360">
        <v>1</v>
      </c>
    </row>
    <row r="361" spans="1:19" x14ac:dyDescent="0.25">
      <c r="A361" t="s">
        <v>756</v>
      </c>
      <c r="B361" t="s">
        <v>757</v>
      </c>
      <c r="C361" t="s">
        <v>44</v>
      </c>
      <c r="D361" t="s">
        <v>18</v>
      </c>
      <c r="E361" t="s">
        <v>75</v>
      </c>
      <c r="F361" t="s">
        <v>31</v>
      </c>
      <c r="G361" s="11">
        <v>45492</v>
      </c>
      <c r="H361" s="12">
        <v>45312</v>
      </c>
      <c r="I361" t="s">
        <v>81</v>
      </c>
      <c r="J361" t="s">
        <v>22</v>
      </c>
      <c r="K361" t="s">
        <v>38</v>
      </c>
      <c r="L361" t="s">
        <v>220</v>
      </c>
      <c r="M361" t="s">
        <v>25</v>
      </c>
      <c r="N361" t="s">
        <v>26</v>
      </c>
      <c r="O361">
        <v>6000</v>
      </c>
      <c r="P361" t="s">
        <v>18</v>
      </c>
      <c r="Q361" t="s">
        <v>884</v>
      </c>
      <c r="R361">
        <v>2024</v>
      </c>
      <c r="S361">
        <v>1</v>
      </c>
    </row>
    <row r="362" spans="1:19" x14ac:dyDescent="0.25">
      <c r="A362" t="s">
        <v>758</v>
      </c>
      <c r="B362" t="s">
        <v>759</v>
      </c>
      <c r="C362" t="s">
        <v>17</v>
      </c>
      <c r="D362" t="s">
        <v>18</v>
      </c>
      <c r="E362" t="s">
        <v>75</v>
      </c>
      <c r="F362" t="s">
        <v>31</v>
      </c>
      <c r="G362" s="11">
        <v>45494</v>
      </c>
      <c r="H362" s="12">
        <v>45314</v>
      </c>
      <c r="I362" t="s">
        <v>81</v>
      </c>
      <c r="J362" t="s">
        <v>22</v>
      </c>
      <c r="K362" t="s">
        <v>115</v>
      </c>
      <c r="L362" t="s">
        <v>220</v>
      </c>
      <c r="M362" t="s">
        <v>25</v>
      </c>
      <c r="N362" t="s">
        <v>26</v>
      </c>
      <c r="O362">
        <v>6000</v>
      </c>
      <c r="P362" t="s">
        <v>18</v>
      </c>
      <c r="Q362" t="s">
        <v>884</v>
      </c>
      <c r="R362">
        <v>2024</v>
      </c>
      <c r="S362">
        <v>1</v>
      </c>
    </row>
    <row r="363" spans="1:19" x14ac:dyDescent="0.25">
      <c r="A363" t="s">
        <v>760</v>
      </c>
      <c r="B363" t="s">
        <v>761</v>
      </c>
      <c r="C363" t="s">
        <v>44</v>
      </c>
      <c r="D363" t="s">
        <v>18</v>
      </c>
      <c r="E363" t="s">
        <v>75</v>
      </c>
      <c r="F363" t="s">
        <v>31</v>
      </c>
      <c r="G363" s="11">
        <v>45494</v>
      </c>
      <c r="H363" s="12">
        <v>45314</v>
      </c>
      <c r="I363" t="s">
        <v>21</v>
      </c>
      <c r="J363" t="s">
        <v>22</v>
      </c>
      <c r="K363" t="s">
        <v>32</v>
      </c>
      <c r="L363" t="s">
        <v>24</v>
      </c>
      <c r="M363" t="s">
        <v>25</v>
      </c>
      <c r="N363" t="s">
        <v>26</v>
      </c>
      <c r="O363">
        <v>6000</v>
      </c>
      <c r="P363" t="s">
        <v>18</v>
      </c>
      <c r="Q363" t="s">
        <v>884</v>
      </c>
      <c r="R363">
        <v>2024</v>
      </c>
      <c r="S363">
        <v>1</v>
      </c>
    </row>
    <row r="364" spans="1:19" x14ac:dyDescent="0.25">
      <c r="A364" t="s">
        <v>762</v>
      </c>
      <c r="B364" t="s">
        <v>763</v>
      </c>
      <c r="C364" t="s">
        <v>205</v>
      </c>
      <c r="D364" t="s">
        <v>18</v>
      </c>
      <c r="E364" t="s">
        <v>75</v>
      </c>
      <c r="F364" t="s">
        <v>31</v>
      </c>
      <c r="G364" s="11">
        <v>45496</v>
      </c>
      <c r="H364" s="12">
        <v>45316</v>
      </c>
      <c r="I364" t="s">
        <v>21</v>
      </c>
      <c r="J364" t="s">
        <v>22</v>
      </c>
      <c r="K364" t="s">
        <v>23</v>
      </c>
      <c r="L364" t="s">
        <v>24</v>
      </c>
      <c r="M364" t="s">
        <v>25</v>
      </c>
      <c r="N364" t="s">
        <v>26</v>
      </c>
      <c r="O364">
        <v>6000</v>
      </c>
      <c r="P364" t="s">
        <v>18</v>
      </c>
      <c r="Q364" t="s">
        <v>884</v>
      </c>
      <c r="R364">
        <v>2024</v>
      </c>
      <c r="S364">
        <v>1</v>
      </c>
    </row>
    <row r="365" spans="1:19" x14ac:dyDescent="0.25">
      <c r="A365" t="s">
        <v>764</v>
      </c>
      <c r="B365" t="s">
        <v>765</v>
      </c>
      <c r="C365" t="s">
        <v>36</v>
      </c>
      <c r="D365" t="s">
        <v>18</v>
      </c>
      <c r="E365" t="s">
        <v>75</v>
      </c>
      <c r="F365" t="s">
        <v>31</v>
      </c>
      <c r="G365" s="11">
        <v>45496</v>
      </c>
      <c r="H365" s="12">
        <v>45316</v>
      </c>
      <c r="I365" t="s">
        <v>81</v>
      </c>
      <c r="J365" t="s">
        <v>22</v>
      </c>
      <c r="K365" t="s">
        <v>23</v>
      </c>
      <c r="L365" t="s">
        <v>24</v>
      </c>
      <c r="M365" t="s">
        <v>25</v>
      </c>
      <c r="N365" t="s">
        <v>26</v>
      </c>
      <c r="O365">
        <v>6000</v>
      </c>
      <c r="P365" t="s">
        <v>18</v>
      </c>
      <c r="Q365" t="s">
        <v>884</v>
      </c>
      <c r="R365">
        <v>2024</v>
      </c>
      <c r="S365">
        <v>1</v>
      </c>
    </row>
    <row r="366" spans="1:19" x14ac:dyDescent="0.25">
      <c r="A366" t="s">
        <v>766</v>
      </c>
      <c r="B366" t="s">
        <v>767</v>
      </c>
      <c r="C366" t="s">
        <v>17</v>
      </c>
      <c r="D366" t="s">
        <v>18</v>
      </c>
      <c r="E366" t="s">
        <v>75</v>
      </c>
      <c r="F366" t="s">
        <v>31</v>
      </c>
      <c r="G366" s="11">
        <v>45499</v>
      </c>
      <c r="H366" s="12">
        <v>45319</v>
      </c>
      <c r="I366" t="s">
        <v>81</v>
      </c>
      <c r="J366" t="s">
        <v>37</v>
      </c>
      <c r="K366" t="s">
        <v>58</v>
      </c>
      <c r="L366" t="s">
        <v>24</v>
      </c>
      <c r="M366" t="s">
        <v>25</v>
      </c>
      <c r="N366" t="s">
        <v>26</v>
      </c>
      <c r="O366">
        <v>6000</v>
      </c>
      <c r="P366" t="s">
        <v>18</v>
      </c>
      <c r="Q366" t="s">
        <v>884</v>
      </c>
      <c r="R366">
        <v>2024</v>
      </c>
      <c r="S366">
        <v>1</v>
      </c>
    </row>
    <row r="367" spans="1:19" x14ac:dyDescent="0.25">
      <c r="A367" t="s">
        <v>768</v>
      </c>
      <c r="B367" t="s">
        <v>769</v>
      </c>
      <c r="C367" t="s">
        <v>44</v>
      </c>
      <c r="D367" t="s">
        <v>18</v>
      </c>
      <c r="E367" t="s">
        <v>75</v>
      </c>
      <c r="F367" t="s">
        <v>31</v>
      </c>
      <c r="G367" s="11">
        <v>45503</v>
      </c>
      <c r="H367" s="12">
        <v>45323</v>
      </c>
      <c r="I367" t="s">
        <v>21</v>
      </c>
      <c r="J367" t="s">
        <v>22</v>
      </c>
      <c r="K367" t="s">
        <v>32</v>
      </c>
      <c r="L367" t="s">
        <v>24</v>
      </c>
      <c r="M367" t="s">
        <v>25</v>
      </c>
      <c r="N367" t="s">
        <v>26</v>
      </c>
      <c r="O367">
        <v>6000</v>
      </c>
      <c r="P367" t="s">
        <v>18</v>
      </c>
      <c r="Q367" t="s">
        <v>885</v>
      </c>
      <c r="R367">
        <v>2024</v>
      </c>
      <c r="S367">
        <v>1</v>
      </c>
    </row>
    <row r="368" spans="1:19" x14ac:dyDescent="0.25">
      <c r="A368" t="s">
        <v>770</v>
      </c>
      <c r="B368" t="s">
        <v>771</v>
      </c>
      <c r="C368" t="s">
        <v>44</v>
      </c>
      <c r="D368" t="s">
        <v>18</v>
      </c>
      <c r="E368" t="s">
        <v>75</v>
      </c>
      <c r="F368" t="s">
        <v>31</v>
      </c>
      <c r="G368" s="11">
        <v>45505</v>
      </c>
      <c r="H368" s="12">
        <v>45325</v>
      </c>
      <c r="I368" t="s">
        <v>21</v>
      </c>
      <c r="J368" t="s">
        <v>22</v>
      </c>
      <c r="K368" t="s">
        <v>38</v>
      </c>
      <c r="L368" t="s">
        <v>24</v>
      </c>
      <c r="M368" t="s">
        <v>25</v>
      </c>
      <c r="N368" t="s">
        <v>26</v>
      </c>
      <c r="O368">
        <v>6000</v>
      </c>
      <c r="P368" t="s">
        <v>18</v>
      </c>
      <c r="Q368" t="s">
        <v>885</v>
      </c>
      <c r="R368">
        <v>2024</v>
      </c>
      <c r="S368">
        <v>1</v>
      </c>
    </row>
    <row r="369" spans="1:19" x14ac:dyDescent="0.25">
      <c r="A369" t="s">
        <v>772</v>
      </c>
      <c r="B369" t="s">
        <v>773</v>
      </c>
      <c r="C369" t="s">
        <v>17</v>
      </c>
      <c r="D369" t="s">
        <v>18</v>
      </c>
      <c r="E369" t="s">
        <v>75</v>
      </c>
      <c r="F369" t="s">
        <v>31</v>
      </c>
      <c r="G369" s="11">
        <v>45506</v>
      </c>
      <c r="H369" s="12">
        <v>45326</v>
      </c>
      <c r="I369" t="s">
        <v>81</v>
      </c>
      <c r="J369" t="s">
        <v>22</v>
      </c>
      <c r="K369" t="s">
        <v>32</v>
      </c>
      <c r="L369" t="s">
        <v>220</v>
      </c>
      <c r="M369" t="s">
        <v>25</v>
      </c>
      <c r="N369" t="s">
        <v>26</v>
      </c>
      <c r="O369">
        <v>6000</v>
      </c>
      <c r="P369" t="s">
        <v>18</v>
      </c>
      <c r="Q369" t="s">
        <v>885</v>
      </c>
      <c r="R369">
        <v>2024</v>
      </c>
      <c r="S369">
        <v>1</v>
      </c>
    </row>
    <row r="370" spans="1:19" x14ac:dyDescent="0.25">
      <c r="A370" t="s">
        <v>774</v>
      </c>
      <c r="B370" t="s">
        <v>775</v>
      </c>
      <c r="C370" t="s">
        <v>17</v>
      </c>
      <c r="D370" t="s">
        <v>18</v>
      </c>
      <c r="E370" t="s">
        <v>75</v>
      </c>
      <c r="F370" t="s">
        <v>31</v>
      </c>
      <c r="G370" s="11">
        <v>45506</v>
      </c>
      <c r="H370" s="12">
        <v>45326</v>
      </c>
      <c r="I370" t="s">
        <v>81</v>
      </c>
      <c r="J370" t="s">
        <v>37</v>
      </c>
      <c r="K370" t="s">
        <v>23</v>
      </c>
      <c r="L370" t="s">
        <v>124</v>
      </c>
      <c r="M370" t="s">
        <v>47</v>
      </c>
      <c r="N370" t="s">
        <v>26</v>
      </c>
      <c r="O370">
        <v>6000</v>
      </c>
      <c r="P370" t="s">
        <v>18</v>
      </c>
      <c r="Q370" t="s">
        <v>885</v>
      </c>
      <c r="R370">
        <v>2024</v>
      </c>
      <c r="S370">
        <v>1</v>
      </c>
    </row>
    <row r="371" spans="1:19" x14ac:dyDescent="0.25">
      <c r="A371" t="s">
        <v>776</v>
      </c>
      <c r="B371" t="s">
        <v>777</v>
      </c>
      <c r="C371" t="s">
        <v>17</v>
      </c>
      <c r="D371" t="s">
        <v>18</v>
      </c>
      <c r="E371" t="s">
        <v>75</v>
      </c>
      <c r="F371" t="s">
        <v>31</v>
      </c>
      <c r="G371" s="11">
        <v>45506</v>
      </c>
      <c r="H371" s="12">
        <v>45326</v>
      </c>
      <c r="I371" t="s">
        <v>81</v>
      </c>
      <c r="J371" t="s">
        <v>22</v>
      </c>
      <c r="K371" t="s">
        <v>23</v>
      </c>
      <c r="L371" t="s">
        <v>220</v>
      </c>
      <c r="M371" t="s">
        <v>25</v>
      </c>
      <c r="N371" t="s">
        <v>26</v>
      </c>
      <c r="O371">
        <v>6000</v>
      </c>
      <c r="P371" t="s">
        <v>18</v>
      </c>
      <c r="Q371" t="s">
        <v>885</v>
      </c>
      <c r="R371">
        <v>2024</v>
      </c>
      <c r="S371">
        <v>1</v>
      </c>
    </row>
    <row r="372" spans="1:19" x14ac:dyDescent="0.25">
      <c r="A372" t="s">
        <v>778</v>
      </c>
      <c r="B372" t="s">
        <v>779</v>
      </c>
      <c r="C372" t="s">
        <v>17</v>
      </c>
      <c r="D372" t="s">
        <v>18</v>
      </c>
      <c r="E372" t="s">
        <v>75</v>
      </c>
      <c r="F372" t="s">
        <v>31</v>
      </c>
      <c r="G372" s="11">
        <v>45506</v>
      </c>
      <c r="H372" s="12">
        <v>45326</v>
      </c>
      <c r="I372" t="s">
        <v>21</v>
      </c>
      <c r="J372" t="s">
        <v>22</v>
      </c>
      <c r="K372" t="s">
        <v>23</v>
      </c>
      <c r="L372" t="s">
        <v>220</v>
      </c>
      <c r="M372" t="s">
        <v>25</v>
      </c>
      <c r="N372" t="s">
        <v>26</v>
      </c>
      <c r="O372">
        <v>6000</v>
      </c>
      <c r="P372" t="s">
        <v>18</v>
      </c>
      <c r="Q372" t="s">
        <v>885</v>
      </c>
      <c r="R372">
        <v>2024</v>
      </c>
      <c r="S372">
        <v>1</v>
      </c>
    </row>
    <row r="373" spans="1:19" x14ac:dyDescent="0.25">
      <c r="A373" t="s">
        <v>780</v>
      </c>
      <c r="B373" t="s">
        <v>781</v>
      </c>
      <c r="C373" t="s">
        <v>17</v>
      </c>
      <c r="D373" t="s">
        <v>18</v>
      </c>
      <c r="E373" t="s">
        <v>75</v>
      </c>
      <c r="F373" t="s">
        <v>31</v>
      </c>
      <c r="G373" s="11">
        <v>45506</v>
      </c>
      <c r="H373" s="12">
        <v>45326</v>
      </c>
      <c r="I373" t="s">
        <v>21</v>
      </c>
      <c r="J373" t="s">
        <v>22</v>
      </c>
      <c r="K373" t="s">
        <v>38</v>
      </c>
      <c r="L373" t="s">
        <v>96</v>
      </c>
      <c r="M373" t="s">
        <v>47</v>
      </c>
      <c r="N373" t="s">
        <v>26</v>
      </c>
      <c r="O373">
        <v>6000</v>
      </c>
      <c r="P373" t="s">
        <v>18</v>
      </c>
      <c r="Q373" t="s">
        <v>885</v>
      </c>
      <c r="R373">
        <v>2024</v>
      </c>
      <c r="S373">
        <v>1</v>
      </c>
    </row>
    <row r="374" spans="1:19" x14ac:dyDescent="0.25">
      <c r="A374" t="s">
        <v>782</v>
      </c>
      <c r="B374" t="s">
        <v>783</v>
      </c>
      <c r="C374" t="s">
        <v>17</v>
      </c>
      <c r="D374" t="s">
        <v>18</v>
      </c>
      <c r="E374" t="s">
        <v>75</v>
      </c>
      <c r="F374" t="s">
        <v>31</v>
      </c>
      <c r="G374" s="11">
        <v>45506</v>
      </c>
      <c r="H374" s="12">
        <v>45326</v>
      </c>
      <c r="I374" t="s">
        <v>21</v>
      </c>
      <c r="J374" t="s">
        <v>22</v>
      </c>
      <c r="K374" t="s">
        <v>32</v>
      </c>
      <c r="L374" t="s">
        <v>96</v>
      </c>
      <c r="M374" t="s">
        <v>47</v>
      </c>
      <c r="N374" t="s">
        <v>26</v>
      </c>
      <c r="O374">
        <v>6000</v>
      </c>
      <c r="P374" t="s">
        <v>18</v>
      </c>
      <c r="Q374" t="s">
        <v>885</v>
      </c>
      <c r="R374">
        <v>2024</v>
      </c>
      <c r="S374">
        <v>1</v>
      </c>
    </row>
    <row r="375" spans="1:19" x14ac:dyDescent="0.25">
      <c r="A375" t="s">
        <v>784</v>
      </c>
      <c r="B375" t="s">
        <v>785</v>
      </c>
      <c r="C375" t="s">
        <v>17</v>
      </c>
      <c r="D375" t="s">
        <v>18</v>
      </c>
      <c r="E375" t="s">
        <v>75</v>
      </c>
      <c r="F375" t="s">
        <v>31</v>
      </c>
      <c r="G375" s="11">
        <v>45506</v>
      </c>
      <c r="H375" s="12">
        <v>45326</v>
      </c>
      <c r="I375" t="s">
        <v>21</v>
      </c>
      <c r="J375" t="s">
        <v>22</v>
      </c>
      <c r="K375" t="s">
        <v>23</v>
      </c>
      <c r="L375" t="s">
        <v>46</v>
      </c>
      <c r="M375" t="s">
        <v>47</v>
      </c>
      <c r="N375" t="s">
        <v>26</v>
      </c>
      <c r="O375">
        <v>6000</v>
      </c>
      <c r="P375" t="s">
        <v>18</v>
      </c>
      <c r="Q375" t="s">
        <v>885</v>
      </c>
      <c r="R375">
        <v>2024</v>
      </c>
      <c r="S375">
        <v>1</v>
      </c>
    </row>
    <row r="376" spans="1:19" x14ac:dyDescent="0.25">
      <c r="A376" t="s">
        <v>786</v>
      </c>
      <c r="B376" t="s">
        <v>787</v>
      </c>
      <c r="C376" t="s">
        <v>17</v>
      </c>
      <c r="D376" t="s">
        <v>18</v>
      </c>
      <c r="E376" t="s">
        <v>75</v>
      </c>
      <c r="F376" t="s">
        <v>31</v>
      </c>
      <c r="G376" s="11">
        <v>45506</v>
      </c>
      <c r="H376" s="12">
        <v>45326</v>
      </c>
      <c r="I376" t="s">
        <v>81</v>
      </c>
      <c r="J376" t="s">
        <v>22</v>
      </c>
      <c r="K376" t="s">
        <v>32</v>
      </c>
      <c r="L376" t="s">
        <v>220</v>
      </c>
      <c r="M376" t="s">
        <v>25</v>
      </c>
      <c r="N376" t="s">
        <v>26</v>
      </c>
      <c r="O376">
        <v>6000</v>
      </c>
      <c r="P376" t="s">
        <v>18</v>
      </c>
      <c r="Q376" t="s">
        <v>885</v>
      </c>
      <c r="R376">
        <v>2024</v>
      </c>
      <c r="S376">
        <v>1</v>
      </c>
    </row>
    <row r="377" spans="1:19" x14ac:dyDescent="0.25">
      <c r="A377" t="s">
        <v>788</v>
      </c>
      <c r="B377" t="s">
        <v>789</v>
      </c>
      <c r="C377" t="s">
        <v>17</v>
      </c>
      <c r="D377" t="s">
        <v>18</v>
      </c>
      <c r="E377" t="s">
        <v>75</v>
      </c>
      <c r="F377" t="s">
        <v>31</v>
      </c>
      <c r="G377" s="11">
        <v>45506</v>
      </c>
      <c r="H377" s="12">
        <v>45326</v>
      </c>
      <c r="I377" t="s">
        <v>21</v>
      </c>
      <c r="J377" t="s">
        <v>22</v>
      </c>
      <c r="K377" t="s">
        <v>23</v>
      </c>
      <c r="L377" t="s">
        <v>24</v>
      </c>
      <c r="M377" t="s">
        <v>25</v>
      </c>
      <c r="N377" t="s">
        <v>26</v>
      </c>
      <c r="O377">
        <v>6000</v>
      </c>
      <c r="P377" t="s">
        <v>18</v>
      </c>
      <c r="Q377" t="s">
        <v>885</v>
      </c>
      <c r="R377">
        <v>2024</v>
      </c>
      <c r="S377">
        <v>1</v>
      </c>
    </row>
    <row r="378" spans="1:19" x14ac:dyDescent="0.25">
      <c r="A378" t="s">
        <v>790</v>
      </c>
      <c r="B378" t="s">
        <v>791</v>
      </c>
      <c r="C378" t="s">
        <v>17</v>
      </c>
      <c r="D378" t="s">
        <v>18</v>
      </c>
      <c r="E378" t="s">
        <v>75</v>
      </c>
      <c r="F378" t="s">
        <v>31</v>
      </c>
      <c r="G378" s="11">
        <v>45506</v>
      </c>
      <c r="H378" s="12">
        <v>45326</v>
      </c>
      <c r="I378" t="s">
        <v>21</v>
      </c>
      <c r="J378" t="s">
        <v>22</v>
      </c>
      <c r="K378" t="s">
        <v>38</v>
      </c>
      <c r="L378" t="s">
        <v>580</v>
      </c>
      <c r="M378" t="s">
        <v>47</v>
      </c>
      <c r="N378" t="s">
        <v>26</v>
      </c>
      <c r="O378">
        <v>6000</v>
      </c>
      <c r="P378" t="s">
        <v>18</v>
      </c>
      <c r="Q378" t="s">
        <v>885</v>
      </c>
      <c r="R378">
        <v>2024</v>
      </c>
      <c r="S378">
        <v>1</v>
      </c>
    </row>
    <row r="379" spans="1:19" x14ac:dyDescent="0.25">
      <c r="A379" t="s">
        <v>792</v>
      </c>
      <c r="B379" t="s">
        <v>793</v>
      </c>
      <c r="C379" t="s">
        <v>36</v>
      </c>
      <c r="D379" t="s">
        <v>18</v>
      </c>
      <c r="E379" t="s">
        <v>75</v>
      </c>
      <c r="F379" t="s">
        <v>31</v>
      </c>
      <c r="G379" s="11">
        <v>45507</v>
      </c>
      <c r="H379" s="12">
        <v>45327</v>
      </c>
      <c r="I379" t="s">
        <v>21</v>
      </c>
      <c r="J379" t="s">
        <v>22</v>
      </c>
      <c r="K379" t="s">
        <v>38</v>
      </c>
      <c r="L379" t="s">
        <v>119</v>
      </c>
      <c r="M379" t="s">
        <v>25</v>
      </c>
      <c r="N379" t="s">
        <v>26</v>
      </c>
      <c r="O379">
        <v>6000</v>
      </c>
      <c r="P379" t="s">
        <v>18</v>
      </c>
      <c r="Q379" t="s">
        <v>885</v>
      </c>
      <c r="R379">
        <v>2024</v>
      </c>
      <c r="S379">
        <v>1</v>
      </c>
    </row>
    <row r="380" spans="1:19" x14ac:dyDescent="0.25">
      <c r="A380" t="s">
        <v>794</v>
      </c>
      <c r="B380" t="s">
        <v>795</v>
      </c>
      <c r="C380" t="s">
        <v>205</v>
      </c>
      <c r="D380" t="s">
        <v>18</v>
      </c>
      <c r="E380" t="s">
        <v>75</v>
      </c>
      <c r="F380" t="s">
        <v>31</v>
      </c>
      <c r="G380" s="11">
        <v>45508</v>
      </c>
      <c r="H380" s="12">
        <v>45328</v>
      </c>
      <c r="I380" t="s">
        <v>81</v>
      </c>
      <c r="J380" t="s">
        <v>22</v>
      </c>
      <c r="K380" t="s">
        <v>115</v>
      </c>
      <c r="L380" t="s">
        <v>220</v>
      </c>
      <c r="M380" t="s">
        <v>25</v>
      </c>
      <c r="N380" t="s">
        <v>26</v>
      </c>
      <c r="O380">
        <v>6000</v>
      </c>
      <c r="P380" t="s">
        <v>18</v>
      </c>
      <c r="Q380" t="s">
        <v>885</v>
      </c>
      <c r="R380">
        <v>2024</v>
      </c>
      <c r="S380">
        <v>1</v>
      </c>
    </row>
    <row r="381" spans="1:19" x14ac:dyDescent="0.25">
      <c r="A381" t="s">
        <v>796</v>
      </c>
      <c r="B381" t="s">
        <v>797</v>
      </c>
      <c r="C381" t="s">
        <v>36</v>
      </c>
      <c r="D381" t="s">
        <v>18</v>
      </c>
      <c r="E381" t="s">
        <v>75</v>
      </c>
      <c r="F381" t="s">
        <v>31</v>
      </c>
      <c r="G381" s="11">
        <v>45508</v>
      </c>
      <c r="H381" s="12">
        <v>45328</v>
      </c>
      <c r="I381" t="s">
        <v>21</v>
      </c>
      <c r="J381" t="s">
        <v>22</v>
      </c>
      <c r="K381" t="s">
        <v>58</v>
      </c>
      <c r="L381" t="s">
        <v>96</v>
      </c>
      <c r="M381" t="s">
        <v>47</v>
      </c>
      <c r="N381" t="s">
        <v>26</v>
      </c>
      <c r="O381">
        <v>6000</v>
      </c>
      <c r="P381" t="s">
        <v>18</v>
      </c>
      <c r="Q381" t="s">
        <v>885</v>
      </c>
      <c r="R381">
        <v>2024</v>
      </c>
      <c r="S381">
        <v>1</v>
      </c>
    </row>
    <row r="382" spans="1:19" x14ac:dyDescent="0.25">
      <c r="A382" t="s">
        <v>798</v>
      </c>
      <c r="B382" t="s">
        <v>799</v>
      </c>
      <c r="C382" t="s">
        <v>44</v>
      </c>
      <c r="D382" t="s">
        <v>18</v>
      </c>
      <c r="E382" t="s">
        <v>75</v>
      </c>
      <c r="F382" t="s">
        <v>31</v>
      </c>
      <c r="G382" s="11">
        <v>45508</v>
      </c>
      <c r="H382" s="12">
        <v>45328</v>
      </c>
      <c r="I382" t="s">
        <v>21</v>
      </c>
      <c r="J382" t="s">
        <v>22</v>
      </c>
      <c r="K382" t="s">
        <v>32</v>
      </c>
      <c r="L382" t="s">
        <v>24</v>
      </c>
      <c r="M382" t="s">
        <v>25</v>
      </c>
      <c r="N382" t="s">
        <v>26</v>
      </c>
      <c r="O382">
        <v>6000</v>
      </c>
      <c r="P382" t="s">
        <v>18</v>
      </c>
      <c r="Q382" t="s">
        <v>885</v>
      </c>
      <c r="R382">
        <v>2024</v>
      </c>
      <c r="S382">
        <v>1</v>
      </c>
    </row>
    <row r="383" spans="1:19" x14ac:dyDescent="0.25">
      <c r="A383" t="s">
        <v>800</v>
      </c>
      <c r="B383" t="s">
        <v>801</v>
      </c>
      <c r="C383" t="s">
        <v>36</v>
      </c>
      <c r="D383" t="s">
        <v>18</v>
      </c>
      <c r="E383" t="s">
        <v>75</v>
      </c>
      <c r="F383" t="s">
        <v>31</v>
      </c>
      <c r="G383" s="11">
        <v>45508</v>
      </c>
      <c r="H383" s="12">
        <v>45328</v>
      </c>
      <c r="I383" t="s">
        <v>21</v>
      </c>
      <c r="J383" t="s">
        <v>22</v>
      </c>
      <c r="K383" t="s">
        <v>38</v>
      </c>
      <c r="L383" t="s">
        <v>119</v>
      </c>
      <c r="M383" t="s">
        <v>25</v>
      </c>
      <c r="N383" t="s">
        <v>26</v>
      </c>
      <c r="O383">
        <v>6000</v>
      </c>
      <c r="P383" t="s">
        <v>18</v>
      </c>
      <c r="Q383" t="s">
        <v>885</v>
      </c>
      <c r="R383">
        <v>2024</v>
      </c>
      <c r="S383">
        <v>1</v>
      </c>
    </row>
    <row r="384" spans="1:19" x14ac:dyDescent="0.25">
      <c r="A384" t="s">
        <v>802</v>
      </c>
      <c r="B384" t="s">
        <v>803</v>
      </c>
      <c r="C384" t="s">
        <v>579</v>
      </c>
      <c r="D384" t="s">
        <v>18</v>
      </c>
      <c r="E384" t="s">
        <v>75</v>
      </c>
      <c r="F384" t="s">
        <v>31</v>
      </c>
      <c r="G384" s="11">
        <v>45508</v>
      </c>
      <c r="H384" s="12">
        <v>45328</v>
      </c>
      <c r="I384" t="s">
        <v>21</v>
      </c>
      <c r="J384" t="s">
        <v>22</v>
      </c>
      <c r="K384" t="s">
        <v>58</v>
      </c>
      <c r="L384" t="s">
        <v>220</v>
      </c>
      <c r="M384" t="s">
        <v>25</v>
      </c>
      <c r="N384" t="s">
        <v>26</v>
      </c>
      <c r="O384">
        <v>6000</v>
      </c>
      <c r="P384" t="s">
        <v>18</v>
      </c>
      <c r="Q384" t="s">
        <v>885</v>
      </c>
      <c r="R384">
        <v>2024</v>
      </c>
      <c r="S384">
        <v>1</v>
      </c>
    </row>
    <row r="385" spans="1:19" x14ac:dyDescent="0.25">
      <c r="A385" t="s">
        <v>804</v>
      </c>
      <c r="B385" t="s">
        <v>805</v>
      </c>
      <c r="C385" t="s">
        <v>17</v>
      </c>
      <c r="D385" t="s">
        <v>18</v>
      </c>
      <c r="E385" t="s">
        <v>75</v>
      </c>
      <c r="F385" t="s">
        <v>31</v>
      </c>
      <c r="G385" s="11">
        <v>45508</v>
      </c>
      <c r="H385" s="12">
        <v>45328</v>
      </c>
      <c r="I385" t="s">
        <v>21</v>
      </c>
      <c r="J385" t="s">
        <v>22</v>
      </c>
      <c r="K385" t="s">
        <v>148</v>
      </c>
      <c r="L385" t="s">
        <v>172</v>
      </c>
      <c r="M385" t="s">
        <v>51</v>
      </c>
      <c r="N385" t="s">
        <v>26</v>
      </c>
      <c r="O385">
        <v>6000</v>
      </c>
      <c r="P385" t="s">
        <v>18</v>
      </c>
      <c r="Q385" t="s">
        <v>885</v>
      </c>
      <c r="R385">
        <v>2024</v>
      </c>
      <c r="S385">
        <v>1</v>
      </c>
    </row>
    <row r="386" spans="1:19" x14ac:dyDescent="0.25">
      <c r="A386" t="s">
        <v>806</v>
      </c>
      <c r="B386" t="s">
        <v>807</v>
      </c>
      <c r="C386" t="s">
        <v>17</v>
      </c>
      <c r="D386" t="s">
        <v>18</v>
      </c>
      <c r="E386" t="s">
        <v>75</v>
      </c>
      <c r="F386" t="s">
        <v>31</v>
      </c>
      <c r="G386" s="11">
        <v>45509</v>
      </c>
      <c r="H386" s="12">
        <v>45329</v>
      </c>
      <c r="I386" t="s">
        <v>81</v>
      </c>
      <c r="J386" t="s">
        <v>22</v>
      </c>
      <c r="K386" t="s">
        <v>23</v>
      </c>
      <c r="L386" t="s">
        <v>96</v>
      </c>
      <c r="M386" t="s">
        <v>47</v>
      </c>
      <c r="N386" t="s">
        <v>26</v>
      </c>
      <c r="O386">
        <v>6000</v>
      </c>
      <c r="P386" t="s">
        <v>18</v>
      </c>
      <c r="Q386" t="s">
        <v>885</v>
      </c>
      <c r="R386">
        <v>2024</v>
      </c>
      <c r="S386">
        <v>1</v>
      </c>
    </row>
    <row r="387" spans="1:19" x14ac:dyDescent="0.25">
      <c r="A387" t="s">
        <v>808</v>
      </c>
      <c r="B387" t="s">
        <v>809</v>
      </c>
      <c r="C387" t="s">
        <v>36</v>
      </c>
      <c r="D387" t="s">
        <v>18</v>
      </c>
      <c r="E387" t="s">
        <v>75</v>
      </c>
      <c r="F387" t="s">
        <v>31</v>
      </c>
      <c r="G387" s="11">
        <v>45509</v>
      </c>
      <c r="H387" s="12">
        <v>45329</v>
      </c>
      <c r="I387" t="s">
        <v>21</v>
      </c>
      <c r="J387" t="s">
        <v>22</v>
      </c>
      <c r="K387" t="s">
        <v>72</v>
      </c>
      <c r="L387" t="s">
        <v>119</v>
      </c>
      <c r="M387" t="s">
        <v>25</v>
      </c>
      <c r="N387" t="s">
        <v>26</v>
      </c>
      <c r="O387">
        <v>6000</v>
      </c>
      <c r="P387" t="s">
        <v>18</v>
      </c>
      <c r="Q387" t="s">
        <v>885</v>
      </c>
      <c r="R387">
        <v>2024</v>
      </c>
      <c r="S387">
        <v>1</v>
      </c>
    </row>
    <row r="388" spans="1:19" x14ac:dyDescent="0.25">
      <c r="A388" t="s">
        <v>810</v>
      </c>
      <c r="B388" t="s">
        <v>811</v>
      </c>
      <c r="C388" t="s">
        <v>44</v>
      </c>
      <c r="D388" t="s">
        <v>18</v>
      </c>
      <c r="E388" t="s">
        <v>75</v>
      </c>
      <c r="F388" t="s">
        <v>31</v>
      </c>
      <c r="G388" s="11">
        <v>45509</v>
      </c>
      <c r="H388" s="12">
        <v>45329</v>
      </c>
      <c r="I388" t="s">
        <v>21</v>
      </c>
      <c r="J388" t="s">
        <v>22</v>
      </c>
      <c r="K388" t="s">
        <v>23</v>
      </c>
      <c r="L388" t="s">
        <v>24</v>
      </c>
      <c r="M388" t="s">
        <v>25</v>
      </c>
      <c r="N388" t="s">
        <v>26</v>
      </c>
      <c r="O388">
        <v>6000</v>
      </c>
      <c r="P388" t="s">
        <v>18</v>
      </c>
      <c r="Q388" t="s">
        <v>885</v>
      </c>
      <c r="R388">
        <v>2024</v>
      </c>
      <c r="S388">
        <v>1</v>
      </c>
    </row>
    <row r="389" spans="1:19" x14ac:dyDescent="0.25">
      <c r="A389" t="s">
        <v>812</v>
      </c>
      <c r="B389" t="s">
        <v>813</v>
      </c>
      <c r="C389" t="s">
        <v>36</v>
      </c>
      <c r="D389" t="s">
        <v>18</v>
      </c>
      <c r="E389" t="s">
        <v>75</v>
      </c>
      <c r="F389" t="s">
        <v>31</v>
      </c>
      <c r="G389" s="11">
        <v>45509</v>
      </c>
      <c r="H389" s="12">
        <v>45329</v>
      </c>
      <c r="I389" t="s">
        <v>21</v>
      </c>
      <c r="J389" t="s">
        <v>22</v>
      </c>
      <c r="K389" t="s">
        <v>23</v>
      </c>
      <c r="L389" t="s">
        <v>24</v>
      </c>
      <c r="M389" t="s">
        <v>25</v>
      </c>
      <c r="N389" t="s">
        <v>26</v>
      </c>
      <c r="O389">
        <v>6000</v>
      </c>
      <c r="P389" t="s">
        <v>18</v>
      </c>
      <c r="Q389" t="s">
        <v>885</v>
      </c>
      <c r="R389">
        <v>2024</v>
      </c>
      <c r="S389">
        <v>1</v>
      </c>
    </row>
    <row r="390" spans="1:19" x14ac:dyDescent="0.25">
      <c r="A390" t="s">
        <v>814</v>
      </c>
      <c r="B390" t="s">
        <v>815</v>
      </c>
      <c r="C390" t="s">
        <v>36</v>
      </c>
      <c r="D390" t="s">
        <v>18</v>
      </c>
      <c r="E390" t="s">
        <v>75</v>
      </c>
      <c r="F390" t="s">
        <v>31</v>
      </c>
      <c r="G390" s="11">
        <v>45509</v>
      </c>
      <c r="H390" s="12">
        <v>45329</v>
      </c>
      <c r="I390" t="s">
        <v>81</v>
      </c>
      <c r="J390" t="s">
        <v>22</v>
      </c>
      <c r="K390" t="s">
        <v>23</v>
      </c>
      <c r="L390" t="s">
        <v>119</v>
      </c>
      <c r="M390" t="s">
        <v>25</v>
      </c>
      <c r="N390" t="s">
        <v>26</v>
      </c>
      <c r="O390">
        <v>6000</v>
      </c>
      <c r="P390" t="s">
        <v>18</v>
      </c>
      <c r="Q390" t="s">
        <v>885</v>
      </c>
      <c r="R390">
        <v>2024</v>
      </c>
      <c r="S390">
        <v>1</v>
      </c>
    </row>
    <row r="391" spans="1:19" x14ac:dyDescent="0.25">
      <c r="A391" t="s">
        <v>816</v>
      </c>
      <c r="B391" t="s">
        <v>817</v>
      </c>
      <c r="C391" t="s">
        <v>17</v>
      </c>
      <c r="D391" t="s">
        <v>18</v>
      </c>
      <c r="E391" t="s">
        <v>75</v>
      </c>
      <c r="F391" t="s">
        <v>31</v>
      </c>
      <c r="G391" s="11">
        <v>45509</v>
      </c>
      <c r="H391" s="12">
        <v>45329</v>
      </c>
      <c r="I391" t="s">
        <v>21</v>
      </c>
      <c r="J391" t="s">
        <v>22</v>
      </c>
      <c r="K391" t="s">
        <v>32</v>
      </c>
      <c r="L391" t="s">
        <v>24</v>
      </c>
      <c r="M391" t="s">
        <v>25</v>
      </c>
      <c r="N391" t="s">
        <v>26</v>
      </c>
      <c r="O391">
        <v>6000</v>
      </c>
      <c r="P391" t="s">
        <v>18</v>
      </c>
      <c r="Q391" t="s">
        <v>885</v>
      </c>
      <c r="R391">
        <v>2024</v>
      </c>
      <c r="S391">
        <v>1</v>
      </c>
    </row>
    <row r="392" spans="1:19" x14ac:dyDescent="0.25">
      <c r="A392" t="s">
        <v>818</v>
      </c>
      <c r="B392" t="s">
        <v>819</v>
      </c>
      <c r="C392" t="s">
        <v>17</v>
      </c>
      <c r="D392" t="s">
        <v>18</v>
      </c>
      <c r="E392" t="s">
        <v>75</v>
      </c>
      <c r="F392" t="s">
        <v>31</v>
      </c>
      <c r="G392" s="11">
        <v>45509</v>
      </c>
      <c r="H392" s="12">
        <v>45329</v>
      </c>
      <c r="I392" t="s">
        <v>21</v>
      </c>
      <c r="J392" t="s">
        <v>22</v>
      </c>
      <c r="K392" t="s">
        <v>38</v>
      </c>
      <c r="L392" t="s">
        <v>172</v>
      </c>
      <c r="M392" t="s">
        <v>51</v>
      </c>
      <c r="N392" t="s">
        <v>26</v>
      </c>
      <c r="O392">
        <v>6000</v>
      </c>
      <c r="P392" t="s">
        <v>18</v>
      </c>
      <c r="Q392" t="s">
        <v>885</v>
      </c>
      <c r="R392">
        <v>2024</v>
      </c>
      <c r="S392">
        <v>1</v>
      </c>
    </row>
    <row r="393" spans="1:19" x14ac:dyDescent="0.25">
      <c r="A393" t="s">
        <v>820</v>
      </c>
      <c r="B393" t="s">
        <v>821</v>
      </c>
      <c r="C393" t="s">
        <v>17</v>
      </c>
      <c r="D393" t="s">
        <v>18</v>
      </c>
      <c r="E393" t="s">
        <v>75</v>
      </c>
      <c r="F393" t="s">
        <v>31</v>
      </c>
      <c r="G393" s="11">
        <v>45509</v>
      </c>
      <c r="H393" s="12">
        <v>45329</v>
      </c>
      <c r="I393" t="s">
        <v>21</v>
      </c>
      <c r="J393" t="s">
        <v>22</v>
      </c>
      <c r="K393" t="s">
        <v>23</v>
      </c>
      <c r="L393" t="s">
        <v>116</v>
      </c>
      <c r="M393" t="s">
        <v>47</v>
      </c>
      <c r="N393" t="s">
        <v>26</v>
      </c>
      <c r="O393">
        <v>6000</v>
      </c>
      <c r="P393" t="s">
        <v>18</v>
      </c>
      <c r="Q393" t="s">
        <v>885</v>
      </c>
      <c r="R393">
        <v>2024</v>
      </c>
      <c r="S393">
        <v>1</v>
      </c>
    </row>
    <row r="394" spans="1:19" x14ac:dyDescent="0.25">
      <c r="A394" t="s">
        <v>822</v>
      </c>
      <c r="B394" t="s">
        <v>823</v>
      </c>
      <c r="C394" t="s">
        <v>36</v>
      </c>
      <c r="D394" t="s">
        <v>18</v>
      </c>
      <c r="E394" t="s">
        <v>75</v>
      </c>
      <c r="F394" t="s">
        <v>31</v>
      </c>
      <c r="G394" s="11">
        <v>45510</v>
      </c>
      <c r="H394" s="12">
        <v>45330</v>
      </c>
      <c r="I394" t="s">
        <v>81</v>
      </c>
      <c r="J394" t="s">
        <v>22</v>
      </c>
      <c r="K394" t="s">
        <v>38</v>
      </c>
      <c r="L394" t="s">
        <v>24</v>
      </c>
      <c r="M394" t="s">
        <v>25</v>
      </c>
      <c r="N394" t="s">
        <v>26</v>
      </c>
      <c r="O394">
        <v>6000</v>
      </c>
      <c r="P394" t="s">
        <v>18</v>
      </c>
      <c r="Q394" t="s">
        <v>885</v>
      </c>
      <c r="R394">
        <v>2024</v>
      </c>
      <c r="S394">
        <v>1</v>
      </c>
    </row>
    <row r="395" spans="1:19" x14ac:dyDescent="0.25">
      <c r="A395" t="s">
        <v>824</v>
      </c>
      <c r="B395" t="s">
        <v>825</v>
      </c>
      <c r="C395" t="s">
        <v>205</v>
      </c>
      <c r="D395" t="s">
        <v>18</v>
      </c>
      <c r="E395" t="s">
        <v>75</v>
      </c>
      <c r="F395" t="s">
        <v>31</v>
      </c>
      <c r="G395" s="11">
        <v>45510</v>
      </c>
      <c r="H395" s="12">
        <v>45330</v>
      </c>
      <c r="I395" t="s">
        <v>21</v>
      </c>
      <c r="J395" t="s">
        <v>37</v>
      </c>
      <c r="K395" t="s">
        <v>32</v>
      </c>
      <c r="L395" t="s">
        <v>24</v>
      </c>
      <c r="M395" t="s">
        <v>25</v>
      </c>
      <c r="N395" t="s">
        <v>26</v>
      </c>
      <c r="O395">
        <v>6000</v>
      </c>
      <c r="P395" t="s">
        <v>18</v>
      </c>
      <c r="Q395" t="s">
        <v>885</v>
      </c>
      <c r="R395">
        <v>2024</v>
      </c>
      <c r="S395">
        <v>1</v>
      </c>
    </row>
    <row r="396" spans="1:19" x14ac:dyDescent="0.25">
      <c r="A396" t="s">
        <v>826</v>
      </c>
      <c r="B396" t="s">
        <v>827</v>
      </c>
      <c r="C396" t="s">
        <v>36</v>
      </c>
      <c r="D396" t="s">
        <v>18</v>
      </c>
      <c r="E396" t="s">
        <v>75</v>
      </c>
      <c r="F396" t="s">
        <v>31</v>
      </c>
      <c r="G396" s="11">
        <v>45510</v>
      </c>
      <c r="H396" s="12">
        <v>45330</v>
      </c>
      <c r="I396" t="s">
        <v>81</v>
      </c>
      <c r="J396" t="s">
        <v>22</v>
      </c>
      <c r="K396" t="s">
        <v>38</v>
      </c>
      <c r="L396" t="s">
        <v>24</v>
      </c>
      <c r="M396" t="s">
        <v>25</v>
      </c>
      <c r="N396" t="s">
        <v>26</v>
      </c>
      <c r="O396">
        <v>6000</v>
      </c>
      <c r="P396" t="s">
        <v>18</v>
      </c>
      <c r="Q396" t="s">
        <v>885</v>
      </c>
      <c r="R396">
        <v>2024</v>
      </c>
      <c r="S396">
        <v>1</v>
      </c>
    </row>
    <row r="397" spans="1:19" x14ac:dyDescent="0.25">
      <c r="A397" t="s">
        <v>828</v>
      </c>
      <c r="B397" t="s">
        <v>829</v>
      </c>
      <c r="C397" t="s">
        <v>44</v>
      </c>
      <c r="D397" t="s">
        <v>18</v>
      </c>
      <c r="E397" t="s">
        <v>75</v>
      </c>
      <c r="F397" t="s">
        <v>31</v>
      </c>
      <c r="G397" s="11">
        <v>45512</v>
      </c>
      <c r="H397" s="12">
        <v>45332</v>
      </c>
      <c r="I397" t="s">
        <v>81</v>
      </c>
      <c r="J397" t="s">
        <v>22</v>
      </c>
      <c r="K397" t="s">
        <v>23</v>
      </c>
      <c r="L397" t="s">
        <v>225</v>
      </c>
      <c r="M397" t="s">
        <v>47</v>
      </c>
      <c r="N397" t="s">
        <v>26</v>
      </c>
      <c r="O397">
        <v>6000</v>
      </c>
      <c r="P397" t="s">
        <v>18</v>
      </c>
      <c r="Q397" t="s">
        <v>885</v>
      </c>
      <c r="R397">
        <v>2024</v>
      </c>
      <c r="S397">
        <v>1</v>
      </c>
    </row>
    <row r="398" spans="1:19" x14ac:dyDescent="0.25">
      <c r="A398" t="s">
        <v>830</v>
      </c>
      <c r="B398" t="s">
        <v>831</v>
      </c>
      <c r="C398" t="s">
        <v>36</v>
      </c>
      <c r="D398" t="s">
        <v>18</v>
      </c>
      <c r="E398" t="s">
        <v>75</v>
      </c>
      <c r="F398" t="s">
        <v>31</v>
      </c>
      <c r="G398" s="11">
        <v>45512</v>
      </c>
      <c r="H398" s="12">
        <v>45332</v>
      </c>
      <c r="I398" t="s">
        <v>21</v>
      </c>
      <c r="J398" t="s">
        <v>22</v>
      </c>
      <c r="K398" t="s">
        <v>32</v>
      </c>
      <c r="L398" t="s">
        <v>96</v>
      </c>
      <c r="M398" t="s">
        <v>47</v>
      </c>
      <c r="N398" t="s">
        <v>26</v>
      </c>
      <c r="O398">
        <v>6000</v>
      </c>
      <c r="P398" t="s">
        <v>18</v>
      </c>
      <c r="Q398" t="s">
        <v>885</v>
      </c>
      <c r="R398">
        <v>2024</v>
      </c>
      <c r="S398">
        <v>1</v>
      </c>
    </row>
    <row r="399" spans="1:19" x14ac:dyDescent="0.25">
      <c r="A399" t="s">
        <v>832</v>
      </c>
      <c r="B399" t="s">
        <v>833</v>
      </c>
      <c r="C399" t="s">
        <v>579</v>
      </c>
      <c r="D399" t="s">
        <v>180</v>
      </c>
      <c r="E399" t="s">
        <v>30</v>
      </c>
      <c r="F399" t="s">
        <v>31</v>
      </c>
      <c r="G399" s="11">
        <v>45513</v>
      </c>
      <c r="H399" s="12">
        <v>45333</v>
      </c>
      <c r="I399" t="s">
        <v>21</v>
      </c>
      <c r="J399" t="s">
        <v>37</v>
      </c>
      <c r="K399" t="s">
        <v>38</v>
      </c>
      <c r="L399" t="s">
        <v>834</v>
      </c>
      <c r="M399" t="s">
        <v>51</v>
      </c>
      <c r="N399" t="s">
        <v>26</v>
      </c>
      <c r="O399">
        <v>6000</v>
      </c>
      <c r="P399" t="s">
        <v>872</v>
      </c>
      <c r="Q399" t="s">
        <v>885</v>
      </c>
      <c r="R399">
        <v>2024</v>
      </c>
      <c r="S399">
        <v>1</v>
      </c>
    </row>
    <row r="400" spans="1:19" x14ac:dyDescent="0.25">
      <c r="A400" t="s">
        <v>835</v>
      </c>
      <c r="B400" t="s">
        <v>836</v>
      </c>
      <c r="C400" t="s">
        <v>17</v>
      </c>
      <c r="D400" t="s">
        <v>18</v>
      </c>
      <c r="E400" t="s">
        <v>75</v>
      </c>
      <c r="F400" t="s">
        <v>31</v>
      </c>
      <c r="G400" s="11">
        <v>45514</v>
      </c>
      <c r="H400" s="12">
        <v>45334</v>
      </c>
      <c r="I400" t="s">
        <v>21</v>
      </c>
      <c r="J400" t="s">
        <v>22</v>
      </c>
      <c r="K400" t="s">
        <v>58</v>
      </c>
      <c r="L400" t="s">
        <v>116</v>
      </c>
      <c r="M400" t="s">
        <v>47</v>
      </c>
      <c r="N400" t="s">
        <v>26</v>
      </c>
      <c r="O400">
        <v>6000</v>
      </c>
      <c r="P400" t="s">
        <v>18</v>
      </c>
      <c r="Q400" t="s">
        <v>885</v>
      </c>
      <c r="R400">
        <v>2024</v>
      </c>
      <c r="S400">
        <v>1</v>
      </c>
    </row>
    <row r="401" spans="1:19" x14ac:dyDescent="0.25">
      <c r="A401" t="s">
        <v>837</v>
      </c>
      <c r="B401" t="s">
        <v>838</v>
      </c>
      <c r="C401" t="s">
        <v>17</v>
      </c>
      <c r="D401" t="s">
        <v>18</v>
      </c>
      <c r="E401" t="s">
        <v>75</v>
      </c>
      <c r="F401" t="s">
        <v>31</v>
      </c>
      <c r="G401" s="11">
        <v>45515</v>
      </c>
      <c r="H401" s="12">
        <v>45335</v>
      </c>
      <c r="I401" t="s">
        <v>81</v>
      </c>
      <c r="J401" t="s">
        <v>22</v>
      </c>
      <c r="K401" t="s">
        <v>517</v>
      </c>
      <c r="L401" t="s">
        <v>96</v>
      </c>
      <c r="M401" t="s">
        <v>47</v>
      </c>
      <c r="N401" t="s">
        <v>26</v>
      </c>
      <c r="O401">
        <v>6000</v>
      </c>
      <c r="P401" t="s">
        <v>18</v>
      </c>
      <c r="Q401" t="s">
        <v>885</v>
      </c>
      <c r="R401">
        <v>2024</v>
      </c>
      <c r="S401">
        <v>1</v>
      </c>
    </row>
    <row r="402" spans="1:19" x14ac:dyDescent="0.25">
      <c r="A402" t="s">
        <v>839</v>
      </c>
      <c r="B402" t="s">
        <v>564</v>
      </c>
      <c r="C402" t="s">
        <v>36</v>
      </c>
      <c r="D402" t="s">
        <v>18</v>
      </c>
      <c r="E402" t="s">
        <v>75</v>
      </c>
      <c r="F402" t="s">
        <v>31</v>
      </c>
      <c r="G402" s="11">
        <v>45517</v>
      </c>
      <c r="H402" s="12">
        <v>45337</v>
      </c>
      <c r="I402" t="s">
        <v>21</v>
      </c>
      <c r="J402" t="s">
        <v>22</v>
      </c>
      <c r="K402" t="s">
        <v>38</v>
      </c>
      <c r="L402" t="s">
        <v>225</v>
      </c>
      <c r="M402" t="s">
        <v>47</v>
      </c>
      <c r="N402" t="s">
        <v>26</v>
      </c>
      <c r="O402">
        <v>6000</v>
      </c>
      <c r="P402" t="s">
        <v>18</v>
      </c>
      <c r="Q402" t="s">
        <v>885</v>
      </c>
      <c r="R402">
        <v>2024</v>
      </c>
      <c r="S402">
        <v>1</v>
      </c>
    </row>
    <row r="403" spans="1:19" x14ac:dyDescent="0.25">
      <c r="A403" t="s">
        <v>840</v>
      </c>
      <c r="B403" t="s">
        <v>841</v>
      </c>
      <c r="C403" t="s">
        <v>44</v>
      </c>
      <c r="D403" t="s">
        <v>18</v>
      </c>
      <c r="E403" t="s">
        <v>75</v>
      </c>
      <c r="F403" t="s">
        <v>31</v>
      </c>
      <c r="G403" s="11">
        <v>45517</v>
      </c>
      <c r="H403" s="12">
        <v>45337</v>
      </c>
      <c r="I403" t="s">
        <v>81</v>
      </c>
      <c r="J403" t="s">
        <v>22</v>
      </c>
      <c r="K403" t="s">
        <v>38</v>
      </c>
      <c r="L403" t="s">
        <v>24</v>
      </c>
      <c r="M403" t="s">
        <v>25</v>
      </c>
      <c r="N403" t="s">
        <v>26</v>
      </c>
      <c r="O403">
        <v>6000</v>
      </c>
      <c r="P403" t="s">
        <v>18</v>
      </c>
      <c r="Q403" t="s">
        <v>885</v>
      </c>
      <c r="R403">
        <v>2024</v>
      </c>
      <c r="S403">
        <v>1</v>
      </c>
    </row>
    <row r="404" spans="1:19" x14ac:dyDescent="0.25">
      <c r="A404" t="s">
        <v>842</v>
      </c>
      <c r="B404" t="s">
        <v>843</v>
      </c>
      <c r="C404" t="s">
        <v>36</v>
      </c>
      <c r="D404" t="s">
        <v>18</v>
      </c>
      <c r="E404" t="s">
        <v>75</v>
      </c>
      <c r="F404" t="s">
        <v>31</v>
      </c>
      <c r="G404" s="11">
        <v>45517</v>
      </c>
      <c r="H404" s="12">
        <v>45337</v>
      </c>
      <c r="I404" t="s">
        <v>81</v>
      </c>
      <c r="J404" t="s">
        <v>22</v>
      </c>
      <c r="K404" t="s">
        <v>32</v>
      </c>
      <c r="L404" t="s">
        <v>465</v>
      </c>
      <c r="M404" t="s">
        <v>51</v>
      </c>
      <c r="N404" t="s">
        <v>26</v>
      </c>
      <c r="O404">
        <v>6000</v>
      </c>
      <c r="P404" t="s">
        <v>18</v>
      </c>
      <c r="Q404" t="s">
        <v>885</v>
      </c>
      <c r="R404">
        <v>2024</v>
      </c>
      <c r="S404">
        <v>1</v>
      </c>
    </row>
    <row r="405" spans="1:19" x14ac:dyDescent="0.25">
      <c r="A405" t="s">
        <v>844</v>
      </c>
      <c r="B405" t="s">
        <v>845</v>
      </c>
      <c r="C405" t="s">
        <v>36</v>
      </c>
      <c r="D405" t="s">
        <v>18</v>
      </c>
      <c r="E405" t="s">
        <v>75</v>
      </c>
      <c r="F405" t="s">
        <v>31</v>
      </c>
      <c r="G405" s="11">
        <v>45517</v>
      </c>
      <c r="H405" s="12">
        <v>45337</v>
      </c>
      <c r="I405" t="s">
        <v>81</v>
      </c>
      <c r="J405" t="s">
        <v>22</v>
      </c>
      <c r="K405" t="s">
        <v>23</v>
      </c>
      <c r="L405" t="s">
        <v>24</v>
      </c>
      <c r="M405" t="s">
        <v>25</v>
      </c>
      <c r="N405" t="s">
        <v>26</v>
      </c>
      <c r="O405">
        <v>30000</v>
      </c>
      <c r="P405" t="s">
        <v>18</v>
      </c>
      <c r="Q405" t="s">
        <v>885</v>
      </c>
      <c r="R405">
        <v>2024</v>
      </c>
      <c r="S405">
        <v>1</v>
      </c>
    </row>
    <row r="406" spans="1:19" x14ac:dyDescent="0.25">
      <c r="A406" t="s">
        <v>846</v>
      </c>
      <c r="B406" t="s">
        <v>847</v>
      </c>
      <c r="C406" t="s">
        <v>17</v>
      </c>
      <c r="D406" t="s">
        <v>18</v>
      </c>
      <c r="E406" t="s">
        <v>75</v>
      </c>
      <c r="F406" t="s">
        <v>31</v>
      </c>
      <c r="G406" s="11">
        <v>45517</v>
      </c>
      <c r="H406" s="12">
        <v>45337</v>
      </c>
      <c r="I406" t="s">
        <v>81</v>
      </c>
      <c r="J406" t="s">
        <v>22</v>
      </c>
      <c r="K406" t="s">
        <v>32</v>
      </c>
      <c r="L406" t="s">
        <v>225</v>
      </c>
      <c r="M406" t="s">
        <v>47</v>
      </c>
      <c r="N406" t="s">
        <v>26</v>
      </c>
      <c r="O406">
        <v>30000</v>
      </c>
      <c r="P406" t="s">
        <v>18</v>
      </c>
      <c r="Q406" t="s">
        <v>885</v>
      </c>
      <c r="R406">
        <v>2024</v>
      </c>
      <c r="S406">
        <v>1</v>
      </c>
    </row>
    <row r="407" spans="1:19" x14ac:dyDescent="0.25">
      <c r="A407" t="s">
        <v>848</v>
      </c>
      <c r="B407" t="s">
        <v>849</v>
      </c>
      <c r="C407" t="s">
        <v>44</v>
      </c>
      <c r="D407" t="s">
        <v>18</v>
      </c>
      <c r="E407" t="s">
        <v>75</v>
      </c>
      <c r="F407" t="s">
        <v>31</v>
      </c>
      <c r="G407" s="11">
        <v>45517</v>
      </c>
      <c r="H407" s="12">
        <v>45337</v>
      </c>
      <c r="I407" t="s">
        <v>81</v>
      </c>
      <c r="J407" t="s">
        <v>22</v>
      </c>
      <c r="K407" t="s">
        <v>23</v>
      </c>
      <c r="L407" t="s">
        <v>24</v>
      </c>
      <c r="M407" t="s">
        <v>25</v>
      </c>
      <c r="N407" t="s">
        <v>26</v>
      </c>
      <c r="O407">
        <v>30000</v>
      </c>
      <c r="P407" t="s">
        <v>18</v>
      </c>
      <c r="Q407" t="s">
        <v>885</v>
      </c>
      <c r="R407">
        <v>2024</v>
      </c>
      <c r="S407">
        <v>1</v>
      </c>
    </row>
    <row r="408" spans="1:19" x14ac:dyDescent="0.25">
      <c r="A408" t="s">
        <v>850</v>
      </c>
      <c r="B408" t="s">
        <v>851</v>
      </c>
      <c r="C408" t="s">
        <v>44</v>
      </c>
      <c r="D408" t="s">
        <v>18</v>
      </c>
      <c r="E408" t="s">
        <v>75</v>
      </c>
      <c r="F408" t="s">
        <v>31</v>
      </c>
      <c r="G408" s="11">
        <v>45517</v>
      </c>
      <c r="H408" s="12">
        <v>45337</v>
      </c>
      <c r="I408" t="s">
        <v>21</v>
      </c>
      <c r="J408" t="s">
        <v>22</v>
      </c>
      <c r="K408" t="s">
        <v>23</v>
      </c>
      <c r="L408" t="s">
        <v>24</v>
      </c>
      <c r="M408" t="s">
        <v>25</v>
      </c>
      <c r="N408" t="s">
        <v>26</v>
      </c>
      <c r="O408">
        <v>30000</v>
      </c>
      <c r="P408" t="s">
        <v>18</v>
      </c>
      <c r="Q408" t="s">
        <v>885</v>
      </c>
      <c r="R408">
        <v>2024</v>
      </c>
      <c r="S408">
        <v>1</v>
      </c>
    </row>
    <row r="409" spans="1:19" x14ac:dyDescent="0.25">
      <c r="A409" t="s">
        <v>852</v>
      </c>
      <c r="B409" t="s">
        <v>853</v>
      </c>
      <c r="C409" t="s">
        <v>36</v>
      </c>
      <c r="D409" t="s">
        <v>18</v>
      </c>
      <c r="E409" t="s">
        <v>75</v>
      </c>
      <c r="F409" t="s">
        <v>31</v>
      </c>
      <c r="G409" s="11">
        <v>45519</v>
      </c>
      <c r="H409" s="12">
        <v>45339</v>
      </c>
      <c r="I409" t="s">
        <v>21</v>
      </c>
      <c r="J409" t="s">
        <v>22</v>
      </c>
      <c r="K409" t="s">
        <v>32</v>
      </c>
      <c r="L409" t="s">
        <v>24</v>
      </c>
      <c r="M409" t="s">
        <v>25</v>
      </c>
      <c r="N409" t="s">
        <v>26</v>
      </c>
      <c r="O409">
        <v>30000</v>
      </c>
      <c r="P409" t="s">
        <v>18</v>
      </c>
      <c r="Q409" t="s">
        <v>885</v>
      </c>
      <c r="R409">
        <v>2024</v>
      </c>
      <c r="S409">
        <v>1</v>
      </c>
    </row>
    <row r="410" spans="1:19" x14ac:dyDescent="0.25">
      <c r="A410" t="s">
        <v>854</v>
      </c>
      <c r="B410" t="s">
        <v>855</v>
      </c>
      <c r="C410" t="s">
        <v>36</v>
      </c>
      <c r="D410" t="s">
        <v>18</v>
      </c>
      <c r="E410" t="s">
        <v>75</v>
      </c>
      <c r="F410" t="s">
        <v>31</v>
      </c>
      <c r="G410" s="11">
        <v>45535</v>
      </c>
      <c r="H410" s="12">
        <v>45355</v>
      </c>
      <c r="I410" t="s">
        <v>21</v>
      </c>
      <c r="J410" t="s">
        <v>22</v>
      </c>
      <c r="K410" t="s">
        <v>38</v>
      </c>
      <c r="L410" t="s">
        <v>24</v>
      </c>
      <c r="M410" t="s">
        <v>25</v>
      </c>
      <c r="N410" t="s">
        <v>26</v>
      </c>
      <c r="O410">
        <v>30000</v>
      </c>
      <c r="P410" t="s">
        <v>18</v>
      </c>
      <c r="Q410" t="s">
        <v>876</v>
      </c>
      <c r="R410">
        <v>2024</v>
      </c>
      <c r="S410">
        <v>1</v>
      </c>
    </row>
    <row r="411" spans="1:19" x14ac:dyDescent="0.25">
      <c r="A411" t="s">
        <v>856</v>
      </c>
      <c r="B411" t="s">
        <v>857</v>
      </c>
      <c r="C411" t="s">
        <v>29</v>
      </c>
      <c r="D411" t="s">
        <v>858</v>
      </c>
      <c r="E411" t="s">
        <v>19</v>
      </c>
      <c r="F411" t="s">
        <v>31</v>
      </c>
      <c r="G411" s="11">
        <v>45579</v>
      </c>
      <c r="H411" s="12">
        <v>45399</v>
      </c>
      <c r="I411" t="s">
        <v>21</v>
      </c>
      <c r="J411" t="s">
        <v>22</v>
      </c>
      <c r="K411" t="s">
        <v>23</v>
      </c>
      <c r="L411" t="s">
        <v>308</v>
      </c>
      <c r="M411" t="s">
        <v>40</v>
      </c>
      <c r="N411" t="s">
        <v>26</v>
      </c>
      <c r="O411">
        <v>30000</v>
      </c>
      <c r="P411" t="s">
        <v>872</v>
      </c>
      <c r="Q411" t="s">
        <v>886</v>
      </c>
      <c r="R411">
        <v>2024</v>
      </c>
      <c r="S411">
        <v>2</v>
      </c>
    </row>
    <row r="412" spans="1:19" x14ac:dyDescent="0.25">
      <c r="A412" t="s">
        <v>859</v>
      </c>
      <c r="B412" t="s">
        <v>860</v>
      </c>
      <c r="C412" t="s">
        <v>44</v>
      </c>
      <c r="D412" t="s">
        <v>175</v>
      </c>
      <c r="E412" t="s">
        <v>30</v>
      </c>
      <c r="F412" t="s">
        <v>31</v>
      </c>
      <c r="G412" s="11">
        <v>45594</v>
      </c>
      <c r="H412" s="12">
        <v>45414</v>
      </c>
      <c r="I412" t="s">
        <v>21</v>
      </c>
      <c r="J412" t="s">
        <v>37</v>
      </c>
      <c r="K412" t="s">
        <v>38</v>
      </c>
      <c r="L412" t="s">
        <v>861</v>
      </c>
      <c r="M412" t="s">
        <v>102</v>
      </c>
      <c r="N412" t="s">
        <v>26</v>
      </c>
      <c r="O412">
        <v>30000</v>
      </c>
      <c r="P412" t="s">
        <v>872</v>
      </c>
      <c r="Q412" t="s">
        <v>877</v>
      </c>
      <c r="R412">
        <v>2024</v>
      </c>
      <c r="S412">
        <v>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0"/>
  <sheetViews>
    <sheetView topLeftCell="A2" workbookViewId="0">
      <selection activeCell="A2" sqref="A2:P412"/>
    </sheetView>
  </sheetViews>
  <sheetFormatPr defaultColWidth="14.42578125" defaultRowHeight="15" customHeight="1" x14ac:dyDescent="0.25"/>
  <cols>
    <col min="1" max="1" width="7.7109375" customWidth="1"/>
    <col min="2" max="2" width="35.140625" customWidth="1"/>
    <col min="3" max="3" width="22.28515625" customWidth="1"/>
    <col min="4" max="4" width="16.85546875" customWidth="1"/>
    <col min="5" max="5" width="20.28515625" customWidth="1"/>
    <col min="6" max="6" width="16.7109375" customWidth="1"/>
    <col min="7" max="7" width="21.42578125" customWidth="1"/>
    <col min="8" max="8" width="13.5703125" customWidth="1"/>
    <col min="9" max="9" width="9.85546875" customWidth="1"/>
    <col min="10" max="10" width="15.42578125" customWidth="1"/>
    <col min="11" max="11" width="14.28515625" customWidth="1"/>
    <col min="12" max="12" width="17.5703125" customWidth="1"/>
    <col min="13" max="13" width="11.28515625" customWidth="1"/>
    <col min="14" max="14" width="16.42578125" customWidth="1"/>
    <col min="15" max="15" width="8.5703125" customWidth="1"/>
    <col min="16" max="16" width="15.42578125" customWidth="1"/>
    <col min="17" max="26" width="8.7109375" customWidth="1"/>
  </cols>
  <sheetData>
    <row r="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3" t="s">
        <v>871</v>
      </c>
    </row>
    <row r="2" spans="1:16" x14ac:dyDescent="0.25">
      <c r="A2" s="1" t="s">
        <v>15</v>
      </c>
      <c r="B2" s="1" t="s">
        <v>16</v>
      </c>
      <c r="C2" s="1" t="s">
        <v>17</v>
      </c>
      <c r="D2" s="1" t="s">
        <v>18</v>
      </c>
      <c r="E2" s="1" t="s">
        <v>19</v>
      </c>
      <c r="F2" s="1" t="s">
        <v>20</v>
      </c>
      <c r="G2" s="8">
        <v>45171</v>
      </c>
      <c r="H2" s="1">
        <v>44991</v>
      </c>
      <c r="I2" s="1" t="s">
        <v>21</v>
      </c>
      <c r="J2" s="1" t="s">
        <v>22</v>
      </c>
      <c r="K2" s="1" t="s">
        <v>23</v>
      </c>
      <c r="L2" s="1" t="s">
        <v>24</v>
      </c>
      <c r="M2" s="1" t="s">
        <v>25</v>
      </c>
      <c r="N2" s="1" t="s">
        <v>26</v>
      </c>
      <c r="O2" s="1">
        <v>10000</v>
      </c>
      <c r="P2" s="3" t="str">
        <f>IF(Table1[[#This Row],[Designation]]="Line Operator","Line Operator", "Other")</f>
        <v>Line Operator</v>
      </c>
    </row>
    <row r="3" spans="1:16" x14ac:dyDescent="0.25">
      <c r="A3" s="1" t="s">
        <v>15</v>
      </c>
      <c r="B3" s="1" t="s">
        <v>16</v>
      </c>
      <c r="C3" s="1" t="s">
        <v>17</v>
      </c>
      <c r="D3" s="1" t="s">
        <v>18</v>
      </c>
      <c r="E3" s="1" t="s">
        <v>19</v>
      </c>
      <c r="F3" s="1" t="s">
        <v>20</v>
      </c>
      <c r="G3" s="8">
        <v>45171</v>
      </c>
      <c r="H3" s="1">
        <v>44991</v>
      </c>
      <c r="I3" s="1" t="s">
        <v>21</v>
      </c>
      <c r="J3" s="1" t="s">
        <v>22</v>
      </c>
      <c r="K3" s="1" t="s">
        <v>23</v>
      </c>
      <c r="L3" s="1" t="s">
        <v>24</v>
      </c>
      <c r="M3" s="1" t="s">
        <v>25</v>
      </c>
      <c r="N3" s="1" t="s">
        <v>26</v>
      </c>
      <c r="O3" s="1">
        <v>10000</v>
      </c>
      <c r="P3" s="3" t="str">
        <f>IF(Table1[[#This Row],[Designation]]="Line Operator","Line Operator", "Other")</f>
        <v>Line Operator</v>
      </c>
    </row>
    <row r="4" spans="1:16" x14ac:dyDescent="0.25">
      <c r="A4" s="1" t="s">
        <v>27</v>
      </c>
      <c r="B4" s="1" t="s">
        <v>28</v>
      </c>
      <c r="C4" s="1" t="s">
        <v>29</v>
      </c>
      <c r="D4" s="1" t="s">
        <v>18</v>
      </c>
      <c r="E4" s="1" t="s">
        <v>30</v>
      </c>
      <c r="F4" s="1" t="s">
        <v>31</v>
      </c>
      <c r="G4" s="8">
        <v>45232</v>
      </c>
      <c r="H4" s="1">
        <v>45052</v>
      </c>
      <c r="I4" s="1" t="s">
        <v>21</v>
      </c>
      <c r="J4" s="1" t="s">
        <v>22</v>
      </c>
      <c r="K4" s="1" t="s">
        <v>32</v>
      </c>
      <c r="L4" s="1" t="s">
        <v>24</v>
      </c>
      <c r="M4" s="1" t="s">
        <v>25</v>
      </c>
      <c r="N4" s="1" t="s">
        <v>33</v>
      </c>
      <c r="O4" s="1">
        <v>2500</v>
      </c>
      <c r="P4" s="3" t="str">
        <f>IF(Table1[[#This Row],[Designation]]="Line Operator","Line Operator", "Other")</f>
        <v>Line Operator</v>
      </c>
    </row>
    <row r="5" spans="1:16" x14ac:dyDescent="0.25">
      <c r="A5" s="1" t="s">
        <v>34</v>
      </c>
      <c r="B5" s="1" t="s">
        <v>35</v>
      </c>
      <c r="C5" s="1" t="s">
        <v>36</v>
      </c>
      <c r="D5" s="1" t="s">
        <v>18</v>
      </c>
      <c r="E5" s="1" t="s">
        <v>19</v>
      </c>
      <c r="F5" s="1" t="s">
        <v>20</v>
      </c>
      <c r="G5" s="8">
        <v>45246</v>
      </c>
      <c r="H5" s="1">
        <v>45066</v>
      </c>
      <c r="I5" s="1" t="s">
        <v>21</v>
      </c>
      <c r="J5" s="1" t="s">
        <v>37</v>
      </c>
      <c r="K5" s="1" t="s">
        <v>38</v>
      </c>
      <c r="L5" s="1" t="s">
        <v>39</v>
      </c>
      <c r="M5" s="1" t="s">
        <v>40</v>
      </c>
      <c r="N5" s="1" t="s">
        <v>41</v>
      </c>
      <c r="O5" s="1">
        <v>500</v>
      </c>
      <c r="P5" s="3" t="str">
        <f>IF(Table1[[#This Row],[Designation]]="Line Operator","Line Operator", "Other")</f>
        <v>Line Operator</v>
      </c>
    </row>
    <row r="6" spans="1:16" x14ac:dyDescent="0.25">
      <c r="A6" s="1" t="s">
        <v>42</v>
      </c>
      <c r="B6" s="1" t="s">
        <v>43</v>
      </c>
      <c r="C6" s="1" t="s">
        <v>44</v>
      </c>
      <c r="D6" s="1" t="s">
        <v>45</v>
      </c>
      <c r="E6" s="1" t="s">
        <v>30</v>
      </c>
      <c r="F6" s="1" t="s">
        <v>20</v>
      </c>
      <c r="G6" s="8">
        <v>45258</v>
      </c>
      <c r="H6" s="1">
        <v>45078</v>
      </c>
      <c r="I6" s="1" t="s">
        <v>21</v>
      </c>
      <c r="J6" s="1" t="s">
        <v>37</v>
      </c>
      <c r="K6" s="1" t="s">
        <v>32</v>
      </c>
      <c r="L6" s="1" t="s">
        <v>46</v>
      </c>
      <c r="M6" s="1" t="s">
        <v>47</v>
      </c>
      <c r="N6" s="1" t="s">
        <v>26</v>
      </c>
      <c r="O6" s="1">
        <v>10000</v>
      </c>
      <c r="P6" s="3" t="str">
        <f>IF(Table1[[#This Row],[Designation]]="Line Operator","Line Operator", "Other")</f>
        <v>Other</v>
      </c>
    </row>
    <row r="7" spans="1:16" x14ac:dyDescent="0.25">
      <c r="A7" s="1" t="s">
        <v>48</v>
      </c>
      <c r="B7" s="1" t="s">
        <v>49</v>
      </c>
      <c r="C7" s="1" t="s">
        <v>36</v>
      </c>
      <c r="D7" s="1" t="s">
        <v>18</v>
      </c>
      <c r="E7" s="1" t="s">
        <v>30</v>
      </c>
      <c r="F7" s="1" t="s">
        <v>31</v>
      </c>
      <c r="G7" s="8">
        <v>45269</v>
      </c>
      <c r="H7" s="1">
        <v>45089</v>
      </c>
      <c r="I7" s="1" t="s">
        <v>21</v>
      </c>
      <c r="J7" s="1" t="s">
        <v>22</v>
      </c>
      <c r="K7" s="1" t="s">
        <v>38</v>
      </c>
      <c r="L7" s="1" t="s">
        <v>50</v>
      </c>
      <c r="M7" s="1" t="s">
        <v>51</v>
      </c>
      <c r="N7" s="1" t="s">
        <v>26</v>
      </c>
      <c r="O7" s="1">
        <v>10000</v>
      </c>
      <c r="P7" s="3" t="str">
        <f>IF(Table1[[#This Row],[Designation]]="Line Operator","Line Operator", "Other")</f>
        <v>Line Operator</v>
      </c>
    </row>
    <row r="8" spans="1:16" x14ac:dyDescent="0.25">
      <c r="A8" s="1" t="s">
        <v>48</v>
      </c>
      <c r="B8" s="1" t="s">
        <v>49</v>
      </c>
      <c r="C8" s="1" t="s">
        <v>36</v>
      </c>
      <c r="D8" s="1" t="s">
        <v>18</v>
      </c>
      <c r="E8" s="1" t="s">
        <v>30</v>
      </c>
      <c r="F8" s="1" t="s">
        <v>31</v>
      </c>
      <c r="G8" s="8">
        <v>45269</v>
      </c>
      <c r="H8" s="1">
        <v>45089</v>
      </c>
      <c r="I8" s="1" t="s">
        <v>21</v>
      </c>
      <c r="J8" s="1" t="s">
        <v>22</v>
      </c>
      <c r="K8" s="1" t="s">
        <v>38</v>
      </c>
      <c r="L8" s="1" t="s">
        <v>50</v>
      </c>
      <c r="M8" s="1" t="s">
        <v>51</v>
      </c>
      <c r="N8" s="1" t="s">
        <v>26</v>
      </c>
      <c r="O8" s="1">
        <v>10000</v>
      </c>
      <c r="P8" s="3" t="str">
        <f>IF(Table1[[#This Row],[Designation]]="Line Operator","Line Operator", "Other")</f>
        <v>Line Operator</v>
      </c>
    </row>
    <row r="9" spans="1:16" x14ac:dyDescent="0.25">
      <c r="A9" s="1" t="s">
        <v>52</v>
      </c>
      <c r="B9" s="1" t="s">
        <v>53</v>
      </c>
      <c r="C9" s="1" t="s">
        <v>44</v>
      </c>
      <c r="D9" s="1" t="s">
        <v>18</v>
      </c>
      <c r="E9" s="1" t="s">
        <v>30</v>
      </c>
      <c r="F9" s="1" t="s">
        <v>20</v>
      </c>
      <c r="G9" s="8">
        <v>45269</v>
      </c>
      <c r="H9" s="1">
        <v>45089</v>
      </c>
      <c r="I9" s="1" t="s">
        <v>21</v>
      </c>
      <c r="J9" s="1" t="s">
        <v>22</v>
      </c>
      <c r="K9" s="1" t="s">
        <v>23</v>
      </c>
      <c r="L9" s="1" t="s">
        <v>24</v>
      </c>
      <c r="M9" s="1" t="s">
        <v>25</v>
      </c>
      <c r="N9" s="1" t="s">
        <v>26</v>
      </c>
      <c r="O9" s="1">
        <v>10000</v>
      </c>
      <c r="P9" s="3" t="str">
        <f>IF(Table1[[#This Row],[Designation]]="Line Operator","Line Operator", "Other")</f>
        <v>Line Operator</v>
      </c>
    </row>
    <row r="10" spans="1:16" x14ac:dyDescent="0.25">
      <c r="A10" s="1" t="s">
        <v>54</v>
      </c>
      <c r="B10" s="1" t="s">
        <v>55</v>
      </c>
      <c r="C10" s="1" t="s">
        <v>36</v>
      </c>
      <c r="D10" s="1" t="s">
        <v>18</v>
      </c>
      <c r="E10" s="1" t="s">
        <v>30</v>
      </c>
      <c r="F10" s="1" t="s">
        <v>20</v>
      </c>
      <c r="G10" s="8">
        <v>45272</v>
      </c>
      <c r="H10" s="1">
        <v>45092</v>
      </c>
      <c r="I10" s="1" t="s">
        <v>21</v>
      </c>
      <c r="J10" s="1" t="s">
        <v>37</v>
      </c>
      <c r="K10" s="1" t="s">
        <v>38</v>
      </c>
      <c r="L10" s="1" t="s">
        <v>24</v>
      </c>
      <c r="M10" s="1" t="s">
        <v>25</v>
      </c>
      <c r="N10" s="1" t="s">
        <v>26</v>
      </c>
      <c r="O10" s="1">
        <v>10000</v>
      </c>
      <c r="P10" s="3" t="str">
        <f>IF(Table1[[#This Row],[Designation]]="Line Operator","Line Operator", "Other")</f>
        <v>Line Operator</v>
      </c>
    </row>
    <row r="11" spans="1:16" x14ac:dyDescent="0.25">
      <c r="A11" s="1" t="s">
        <v>56</v>
      </c>
      <c r="B11" s="1" t="s">
        <v>57</v>
      </c>
      <c r="C11" s="1" t="s">
        <v>44</v>
      </c>
      <c r="D11" s="1" t="s">
        <v>18</v>
      </c>
      <c r="E11" s="1" t="s">
        <v>19</v>
      </c>
      <c r="F11" s="1" t="s">
        <v>20</v>
      </c>
      <c r="G11" s="8">
        <v>45277</v>
      </c>
      <c r="H11" s="1">
        <v>45097</v>
      </c>
      <c r="I11" s="1" t="s">
        <v>21</v>
      </c>
      <c r="J11" s="1" t="s">
        <v>22</v>
      </c>
      <c r="K11" s="1" t="s">
        <v>58</v>
      </c>
      <c r="L11" s="1" t="s">
        <v>24</v>
      </c>
      <c r="M11" s="1" t="s">
        <v>25</v>
      </c>
      <c r="N11" s="1" t="s">
        <v>26</v>
      </c>
      <c r="O11" s="1">
        <v>523</v>
      </c>
      <c r="P11" s="3" t="str">
        <f>IF(Table1[[#This Row],[Designation]]="Line Operator","Line Operator", "Other")</f>
        <v>Line Operator</v>
      </c>
    </row>
    <row r="12" spans="1:16" x14ac:dyDescent="0.25">
      <c r="A12" s="1" t="s">
        <v>59</v>
      </c>
      <c r="B12" s="1" t="s">
        <v>60</v>
      </c>
      <c r="C12" s="1" t="s">
        <v>44</v>
      </c>
      <c r="D12" s="1" t="s">
        <v>18</v>
      </c>
      <c r="E12" s="1" t="s">
        <v>30</v>
      </c>
      <c r="F12" s="1" t="s">
        <v>20</v>
      </c>
      <c r="G12" s="8">
        <v>45277</v>
      </c>
      <c r="H12" s="1">
        <v>45097</v>
      </c>
      <c r="I12" s="1" t="s">
        <v>21</v>
      </c>
      <c r="J12" s="1" t="s">
        <v>22</v>
      </c>
      <c r="K12" s="1" t="s">
        <v>32</v>
      </c>
      <c r="L12" s="1" t="s">
        <v>24</v>
      </c>
      <c r="M12" s="1" t="s">
        <v>25</v>
      </c>
      <c r="N12" s="1" t="s">
        <v>26</v>
      </c>
      <c r="O12" s="1">
        <v>10000</v>
      </c>
      <c r="P12" s="3" t="str">
        <f>IF(Table1[[#This Row],[Designation]]="Line Operator","Line Operator", "Other")</f>
        <v>Line Operator</v>
      </c>
    </row>
    <row r="13" spans="1:16" x14ac:dyDescent="0.25">
      <c r="A13" s="1" t="s">
        <v>61</v>
      </c>
      <c r="B13" s="1" t="s">
        <v>62</v>
      </c>
      <c r="C13" s="1" t="s">
        <v>36</v>
      </c>
      <c r="D13" s="1" t="s">
        <v>18</v>
      </c>
      <c r="E13" s="1" t="s">
        <v>30</v>
      </c>
      <c r="F13" s="1" t="s">
        <v>20</v>
      </c>
      <c r="G13" s="8">
        <v>45278</v>
      </c>
      <c r="H13" s="1">
        <v>45098</v>
      </c>
      <c r="I13" s="1" t="s">
        <v>21</v>
      </c>
      <c r="J13" s="1" t="s">
        <v>37</v>
      </c>
      <c r="K13" s="1" t="s">
        <v>38</v>
      </c>
      <c r="L13" s="1" t="s">
        <v>24</v>
      </c>
      <c r="M13" s="1" t="s">
        <v>25</v>
      </c>
      <c r="N13" s="1" t="s">
        <v>26</v>
      </c>
      <c r="O13" s="1">
        <v>216363</v>
      </c>
      <c r="P13" s="3" t="str">
        <f>IF(Table1[[#This Row],[Designation]]="Line Operator","Line Operator", "Other")</f>
        <v>Line Operator</v>
      </c>
    </row>
    <row r="14" spans="1:16" x14ac:dyDescent="0.25">
      <c r="A14" s="1" t="s">
        <v>63</v>
      </c>
      <c r="B14" s="1" t="s">
        <v>64</v>
      </c>
      <c r="C14" s="1" t="s">
        <v>36</v>
      </c>
      <c r="D14" s="1" t="s">
        <v>18</v>
      </c>
      <c r="E14" s="1" t="s">
        <v>19</v>
      </c>
      <c r="F14" s="1" t="s">
        <v>20</v>
      </c>
      <c r="G14" s="8">
        <v>45288</v>
      </c>
      <c r="H14" s="1">
        <v>45108</v>
      </c>
      <c r="I14" s="1" t="s">
        <v>21</v>
      </c>
      <c r="J14" s="1" t="s">
        <v>37</v>
      </c>
      <c r="K14" s="1" t="s">
        <v>38</v>
      </c>
      <c r="L14" s="1" t="s">
        <v>46</v>
      </c>
      <c r="M14" s="1" t="s">
        <v>47</v>
      </c>
      <c r="N14" s="1" t="s">
        <v>26</v>
      </c>
      <c r="O14" s="1">
        <v>10000</v>
      </c>
      <c r="P14" s="3" t="str">
        <f>IF(Table1[[#This Row],[Designation]]="Line Operator","Line Operator", "Other")</f>
        <v>Line Operator</v>
      </c>
    </row>
    <row r="15" spans="1:16" x14ac:dyDescent="0.25">
      <c r="A15" s="1" t="s">
        <v>65</v>
      </c>
      <c r="B15" s="1" t="s">
        <v>66</v>
      </c>
      <c r="C15" s="1" t="s">
        <v>36</v>
      </c>
      <c r="D15" s="1" t="s">
        <v>18</v>
      </c>
      <c r="E15" s="1" t="s">
        <v>30</v>
      </c>
      <c r="F15" s="1" t="s">
        <v>20</v>
      </c>
      <c r="G15" s="8">
        <v>45297</v>
      </c>
      <c r="H15" s="1">
        <v>45117</v>
      </c>
      <c r="I15" s="1" t="s">
        <v>21</v>
      </c>
      <c r="J15" s="1" t="s">
        <v>37</v>
      </c>
      <c r="K15" s="1" t="s">
        <v>58</v>
      </c>
      <c r="L15" s="1" t="s">
        <v>24</v>
      </c>
      <c r="M15" s="1" t="s">
        <v>25</v>
      </c>
      <c r="N15" s="1" t="s">
        <v>26</v>
      </c>
      <c r="O15" s="1">
        <v>10000</v>
      </c>
      <c r="P15" s="3" t="str">
        <f>IF(Table1[[#This Row],[Designation]]="Line Operator","Line Operator", "Other")</f>
        <v>Line Operator</v>
      </c>
    </row>
    <row r="16" spans="1:16" x14ac:dyDescent="0.25">
      <c r="A16" s="1" t="s">
        <v>67</v>
      </c>
      <c r="B16" s="1" t="s">
        <v>68</v>
      </c>
      <c r="C16" s="1" t="s">
        <v>44</v>
      </c>
      <c r="D16" s="1" t="s">
        <v>18</v>
      </c>
      <c r="E16" s="1" t="s">
        <v>30</v>
      </c>
      <c r="F16" s="1" t="s">
        <v>20</v>
      </c>
      <c r="G16" s="8">
        <v>45297</v>
      </c>
      <c r="H16" s="1">
        <v>45117</v>
      </c>
      <c r="I16" s="1" t="s">
        <v>21</v>
      </c>
      <c r="J16" s="1" t="s">
        <v>37</v>
      </c>
      <c r="K16" s="1" t="s">
        <v>23</v>
      </c>
      <c r="L16" s="1" t="s">
        <v>69</v>
      </c>
      <c r="M16" s="1" t="s">
        <v>40</v>
      </c>
      <c r="N16" s="1" t="s">
        <v>26</v>
      </c>
      <c r="O16" s="1">
        <v>525</v>
      </c>
      <c r="P16" s="3" t="str">
        <f>IF(Table1[[#This Row],[Designation]]="Line Operator","Line Operator", "Other")</f>
        <v>Line Operator</v>
      </c>
    </row>
    <row r="17" spans="1:16" x14ac:dyDescent="0.25">
      <c r="A17" s="1" t="s">
        <v>70</v>
      </c>
      <c r="B17" s="1" t="s">
        <v>71</v>
      </c>
      <c r="C17" s="1" t="s">
        <v>44</v>
      </c>
      <c r="D17" s="1" t="s">
        <v>18</v>
      </c>
      <c r="E17" s="1" t="s">
        <v>30</v>
      </c>
      <c r="F17" s="1" t="s">
        <v>31</v>
      </c>
      <c r="G17" s="8">
        <v>45297</v>
      </c>
      <c r="H17" s="1">
        <v>45117</v>
      </c>
      <c r="I17" s="1" t="s">
        <v>21</v>
      </c>
      <c r="J17" s="1" t="s">
        <v>37</v>
      </c>
      <c r="K17" s="1" t="s">
        <v>72</v>
      </c>
      <c r="L17" s="1" t="s">
        <v>24</v>
      </c>
      <c r="M17" s="1" t="s">
        <v>25</v>
      </c>
      <c r="N17" s="1" t="s">
        <v>26</v>
      </c>
      <c r="O17" s="1">
        <v>10000</v>
      </c>
      <c r="P17" s="3" t="str">
        <f>IF(Table1[[#This Row],[Designation]]="Line Operator","Line Operator", "Other")</f>
        <v>Line Operator</v>
      </c>
    </row>
    <row r="18" spans="1:16" x14ac:dyDescent="0.25">
      <c r="A18" s="1" t="s">
        <v>73</v>
      </c>
      <c r="B18" s="1" t="s">
        <v>74</v>
      </c>
      <c r="C18" s="1" t="s">
        <v>36</v>
      </c>
      <c r="D18" s="1" t="s">
        <v>18</v>
      </c>
      <c r="E18" s="1" t="s">
        <v>75</v>
      </c>
      <c r="F18" s="1" t="s">
        <v>20</v>
      </c>
      <c r="G18" s="8">
        <v>45297</v>
      </c>
      <c r="H18" s="1">
        <v>45117</v>
      </c>
      <c r="I18" s="1" t="s">
        <v>21</v>
      </c>
      <c r="J18" s="1" t="s">
        <v>22</v>
      </c>
      <c r="K18" s="1" t="s">
        <v>23</v>
      </c>
      <c r="L18" s="1" t="s">
        <v>24</v>
      </c>
      <c r="M18" s="1" t="s">
        <v>25</v>
      </c>
      <c r="N18" s="1" t="s">
        <v>26</v>
      </c>
      <c r="O18" s="1">
        <v>15265</v>
      </c>
      <c r="P18" s="3" t="str">
        <f>IF(Table1[[#This Row],[Designation]]="Line Operator","Line Operator", "Other")</f>
        <v>Line Operator</v>
      </c>
    </row>
    <row r="19" spans="1:16" x14ac:dyDescent="0.25">
      <c r="A19" s="1" t="s">
        <v>76</v>
      </c>
      <c r="B19" s="1" t="s">
        <v>77</v>
      </c>
      <c r="C19" s="1" t="s">
        <v>17</v>
      </c>
      <c r="D19" s="1" t="s">
        <v>18</v>
      </c>
      <c r="E19" s="1" t="s">
        <v>30</v>
      </c>
      <c r="F19" s="1" t="s">
        <v>20</v>
      </c>
      <c r="G19" s="8">
        <v>45297</v>
      </c>
      <c r="H19" s="1">
        <v>45117</v>
      </c>
      <c r="I19" s="1" t="s">
        <v>21</v>
      </c>
      <c r="J19" s="1" t="s">
        <v>37</v>
      </c>
      <c r="K19" s="1" t="s">
        <v>38</v>
      </c>
      <c r="L19" s="1" t="s">
        <v>24</v>
      </c>
      <c r="M19" s="1" t="s">
        <v>25</v>
      </c>
      <c r="N19" s="1" t="s">
        <v>26</v>
      </c>
      <c r="O19" s="1">
        <v>10000</v>
      </c>
      <c r="P19" s="3" t="str">
        <f>IF(Table1[[#This Row],[Designation]]="Line Operator","Line Operator", "Other")</f>
        <v>Line Operator</v>
      </c>
    </row>
    <row r="20" spans="1:16" x14ac:dyDescent="0.25">
      <c r="A20" s="1" t="s">
        <v>78</v>
      </c>
      <c r="B20" s="1" t="s">
        <v>79</v>
      </c>
      <c r="C20" s="1" t="s">
        <v>80</v>
      </c>
      <c r="D20" s="1" t="s">
        <v>18</v>
      </c>
      <c r="E20" s="1" t="s">
        <v>75</v>
      </c>
      <c r="F20" s="1" t="s">
        <v>20</v>
      </c>
      <c r="G20" s="8">
        <v>45297</v>
      </c>
      <c r="H20" s="1">
        <v>45117</v>
      </c>
      <c r="I20" s="1" t="s">
        <v>81</v>
      </c>
      <c r="J20" s="1" t="s">
        <v>37</v>
      </c>
      <c r="K20" s="1" t="s">
        <v>38</v>
      </c>
      <c r="L20" s="1" t="s">
        <v>24</v>
      </c>
      <c r="M20" s="1" t="s">
        <v>25</v>
      </c>
      <c r="N20" s="1" t="s">
        <v>26</v>
      </c>
      <c r="O20" s="1">
        <v>56</v>
      </c>
      <c r="P20" s="3" t="str">
        <f>IF(Table1[[#This Row],[Designation]]="Line Operator","Line Operator", "Other")</f>
        <v>Line Operator</v>
      </c>
    </row>
    <row r="21" spans="1:16" ht="15.75" customHeight="1" x14ac:dyDescent="0.25">
      <c r="A21" s="1" t="s">
        <v>82</v>
      </c>
      <c r="B21" s="1" t="s">
        <v>83</v>
      </c>
      <c r="C21" s="1" t="s">
        <v>17</v>
      </c>
      <c r="D21" s="1" t="s">
        <v>18</v>
      </c>
      <c r="E21" s="1" t="s">
        <v>30</v>
      </c>
      <c r="F21" s="1" t="s">
        <v>20</v>
      </c>
      <c r="G21" s="8">
        <v>45297</v>
      </c>
      <c r="H21" s="1">
        <v>45117</v>
      </c>
      <c r="I21" s="1" t="s">
        <v>21</v>
      </c>
      <c r="J21" s="1" t="s">
        <v>37</v>
      </c>
      <c r="K21" s="1" t="s">
        <v>23</v>
      </c>
      <c r="L21" s="1" t="s">
        <v>24</v>
      </c>
      <c r="M21" s="1" t="s">
        <v>25</v>
      </c>
      <c r="N21" s="1" t="s">
        <v>26</v>
      </c>
      <c r="O21" s="1">
        <v>10000</v>
      </c>
      <c r="P21" s="3" t="str">
        <f>IF(Table1[[#This Row],[Designation]]="Line Operator","Line Operator", "Other")</f>
        <v>Line Operator</v>
      </c>
    </row>
    <row r="22" spans="1:16" ht="15.75" customHeight="1" x14ac:dyDescent="0.25">
      <c r="A22" s="1" t="s">
        <v>84</v>
      </c>
      <c r="B22" s="1" t="s">
        <v>85</v>
      </c>
      <c r="C22" s="1" t="s">
        <v>29</v>
      </c>
      <c r="D22" s="1" t="s">
        <v>18</v>
      </c>
      <c r="E22" s="1" t="s">
        <v>30</v>
      </c>
      <c r="F22" s="1" t="s">
        <v>20</v>
      </c>
      <c r="G22" s="8">
        <v>45297</v>
      </c>
      <c r="H22" s="1">
        <v>45117</v>
      </c>
      <c r="I22" s="1" t="s">
        <v>21</v>
      </c>
      <c r="J22" s="1" t="s">
        <v>22</v>
      </c>
      <c r="K22" s="1" t="s">
        <v>58</v>
      </c>
      <c r="L22" s="1" t="s">
        <v>24</v>
      </c>
      <c r="M22" s="1" t="s">
        <v>25</v>
      </c>
      <c r="N22" s="1" t="s">
        <v>26</v>
      </c>
      <c r="O22" s="1">
        <v>10000</v>
      </c>
      <c r="P22" s="3" t="str">
        <f>IF(Table1[[#This Row],[Designation]]="Line Operator","Line Operator", "Other")</f>
        <v>Line Operator</v>
      </c>
    </row>
    <row r="23" spans="1:16" ht="15.75" customHeight="1" x14ac:dyDescent="0.25">
      <c r="A23" s="1" t="s">
        <v>86</v>
      </c>
      <c r="B23" s="1" t="s">
        <v>87</v>
      </c>
      <c r="C23" s="1" t="s">
        <v>36</v>
      </c>
      <c r="D23" s="1" t="s">
        <v>18</v>
      </c>
      <c r="E23" s="1" t="s">
        <v>75</v>
      </c>
      <c r="F23" s="1" t="s">
        <v>20</v>
      </c>
      <c r="G23" s="8">
        <v>45297</v>
      </c>
      <c r="H23" s="1">
        <v>45117</v>
      </c>
      <c r="I23" s="1" t="s">
        <v>21</v>
      </c>
      <c r="J23" s="1" t="s">
        <v>22</v>
      </c>
      <c r="K23" s="1" t="s">
        <v>38</v>
      </c>
      <c r="L23" s="1" t="s">
        <v>24</v>
      </c>
      <c r="M23" s="1" t="s">
        <v>25</v>
      </c>
      <c r="N23" s="1" t="s">
        <v>26</v>
      </c>
      <c r="O23" s="1">
        <v>1662</v>
      </c>
      <c r="P23" s="3" t="str">
        <f>IF(Table1[[#This Row],[Designation]]="Line Operator","Line Operator", "Other")</f>
        <v>Line Operator</v>
      </c>
    </row>
    <row r="24" spans="1:16" ht="15.75" customHeight="1" x14ac:dyDescent="0.25">
      <c r="A24" s="1" t="s">
        <v>88</v>
      </c>
      <c r="B24" s="1" t="s">
        <v>89</v>
      </c>
      <c r="C24" s="1" t="s">
        <v>44</v>
      </c>
      <c r="D24" s="1" t="s">
        <v>18</v>
      </c>
      <c r="E24" s="1" t="s">
        <v>75</v>
      </c>
      <c r="F24" s="1" t="s">
        <v>20</v>
      </c>
      <c r="G24" s="8">
        <v>45297</v>
      </c>
      <c r="H24" s="1">
        <v>45117</v>
      </c>
      <c r="I24" s="1" t="s">
        <v>21</v>
      </c>
      <c r="J24" s="1" t="s">
        <v>22</v>
      </c>
      <c r="K24" s="1" t="s">
        <v>38</v>
      </c>
      <c r="L24" s="1" t="s">
        <v>24</v>
      </c>
      <c r="M24" s="1" t="s">
        <v>25</v>
      </c>
      <c r="N24" s="1" t="s">
        <v>26</v>
      </c>
      <c r="O24" s="1">
        <v>10000</v>
      </c>
      <c r="P24" s="3" t="str">
        <f>IF(Table1[[#This Row],[Designation]]="Line Operator","Line Operator", "Other")</f>
        <v>Line Operator</v>
      </c>
    </row>
    <row r="25" spans="1:16" ht="15.75" customHeight="1" x14ac:dyDescent="0.25">
      <c r="A25" s="1" t="s">
        <v>90</v>
      </c>
      <c r="B25" s="1" t="s">
        <v>91</v>
      </c>
      <c r="C25" s="1" t="s">
        <v>36</v>
      </c>
      <c r="D25" s="1" t="s">
        <v>18</v>
      </c>
      <c r="E25" s="1" t="s">
        <v>75</v>
      </c>
      <c r="F25" s="1" t="s">
        <v>20</v>
      </c>
      <c r="G25" s="8">
        <v>45298</v>
      </c>
      <c r="H25" s="1">
        <v>45118</v>
      </c>
      <c r="I25" s="1" t="s">
        <v>21</v>
      </c>
      <c r="J25" s="1" t="s">
        <v>22</v>
      </c>
      <c r="K25" s="1" t="s">
        <v>38</v>
      </c>
      <c r="L25" s="1" t="s">
        <v>24</v>
      </c>
      <c r="M25" s="1" t="s">
        <v>25</v>
      </c>
      <c r="N25" s="1" t="s">
        <v>26</v>
      </c>
      <c r="O25" s="1">
        <v>10000</v>
      </c>
      <c r="P25" s="3" t="str">
        <f>IF(Table1[[#This Row],[Designation]]="Line Operator","Line Operator", "Other")</f>
        <v>Line Operator</v>
      </c>
    </row>
    <row r="26" spans="1:16" ht="15.75" customHeight="1" x14ac:dyDescent="0.25">
      <c r="A26" s="1" t="s">
        <v>92</v>
      </c>
      <c r="B26" s="1" t="s">
        <v>93</v>
      </c>
      <c r="C26" s="1" t="s">
        <v>44</v>
      </c>
      <c r="D26" s="1" t="s">
        <v>18</v>
      </c>
      <c r="E26" s="1" t="s">
        <v>30</v>
      </c>
      <c r="F26" s="1" t="s">
        <v>20</v>
      </c>
      <c r="G26" s="8">
        <v>45323</v>
      </c>
      <c r="H26" s="1">
        <v>45143</v>
      </c>
      <c r="I26" s="1" t="s">
        <v>21</v>
      </c>
      <c r="J26" s="1" t="s">
        <v>37</v>
      </c>
      <c r="K26" s="1" t="s">
        <v>38</v>
      </c>
      <c r="L26" s="1" t="s">
        <v>24</v>
      </c>
      <c r="M26" s="1" t="s">
        <v>25</v>
      </c>
      <c r="N26" s="1" t="s">
        <v>26</v>
      </c>
      <c r="O26" s="1">
        <v>6232</v>
      </c>
      <c r="P26" s="3" t="str">
        <f>IF(Table1[[#This Row],[Designation]]="Line Operator","Line Operator", "Other")</f>
        <v>Line Operator</v>
      </c>
    </row>
    <row r="27" spans="1:16" ht="15.75" customHeight="1" x14ac:dyDescent="0.25">
      <c r="A27" s="1" t="s">
        <v>94</v>
      </c>
      <c r="B27" s="1" t="s">
        <v>95</v>
      </c>
      <c r="C27" s="1" t="s">
        <v>44</v>
      </c>
      <c r="D27" s="1" t="s">
        <v>18</v>
      </c>
      <c r="E27" s="1" t="s">
        <v>30</v>
      </c>
      <c r="F27" s="1" t="s">
        <v>20</v>
      </c>
      <c r="G27" s="8">
        <v>45323</v>
      </c>
      <c r="H27" s="1">
        <v>45143</v>
      </c>
      <c r="I27" s="1" t="s">
        <v>21</v>
      </c>
      <c r="J27" s="1" t="s">
        <v>37</v>
      </c>
      <c r="K27" s="1" t="s">
        <v>32</v>
      </c>
      <c r="L27" s="1" t="s">
        <v>96</v>
      </c>
      <c r="M27" s="1" t="s">
        <v>47</v>
      </c>
      <c r="N27" s="1" t="s">
        <v>26</v>
      </c>
      <c r="O27" s="1">
        <v>10000</v>
      </c>
      <c r="P27" s="3" t="str">
        <f>IF(Table1[[#This Row],[Designation]]="Line Operator","Line Operator", "Other")</f>
        <v>Line Operator</v>
      </c>
    </row>
    <row r="28" spans="1:16" ht="15.75" customHeight="1" x14ac:dyDescent="0.25">
      <c r="A28" s="1" t="s">
        <v>97</v>
      </c>
      <c r="B28" s="1" t="s">
        <v>98</v>
      </c>
      <c r="C28" s="1" t="s">
        <v>44</v>
      </c>
      <c r="D28" s="1" t="s">
        <v>18</v>
      </c>
      <c r="E28" s="1" t="s">
        <v>30</v>
      </c>
      <c r="F28" s="1" t="s">
        <v>20</v>
      </c>
      <c r="G28" s="8">
        <v>45356</v>
      </c>
      <c r="H28" s="1">
        <v>45176</v>
      </c>
      <c r="I28" s="1" t="s">
        <v>21</v>
      </c>
      <c r="J28" s="1" t="s">
        <v>37</v>
      </c>
      <c r="K28" s="1" t="s">
        <v>23</v>
      </c>
      <c r="L28" s="1" t="s">
        <v>24</v>
      </c>
      <c r="M28" s="1" t="s">
        <v>25</v>
      </c>
      <c r="N28" s="1" t="s">
        <v>26</v>
      </c>
      <c r="O28" s="1">
        <v>10000</v>
      </c>
      <c r="P28" s="3" t="str">
        <f>IF(Table1[[#This Row],[Designation]]="Line Operator","Line Operator", "Other")</f>
        <v>Line Operator</v>
      </c>
    </row>
    <row r="29" spans="1:16" ht="15.75" customHeight="1" x14ac:dyDescent="0.25">
      <c r="A29" s="1" t="s">
        <v>99</v>
      </c>
      <c r="B29" s="1" t="s">
        <v>100</v>
      </c>
      <c r="C29" s="1" t="s">
        <v>17</v>
      </c>
      <c r="D29" s="1" t="s">
        <v>18</v>
      </c>
      <c r="E29" s="1" t="s">
        <v>30</v>
      </c>
      <c r="F29" s="1" t="s">
        <v>31</v>
      </c>
      <c r="G29" s="8">
        <v>45430</v>
      </c>
      <c r="H29" s="1">
        <v>45250</v>
      </c>
      <c r="I29" s="1" t="s">
        <v>21</v>
      </c>
      <c r="J29" s="1" t="s">
        <v>37</v>
      </c>
      <c r="K29" s="1" t="s">
        <v>38</v>
      </c>
      <c r="L29" s="1" t="s">
        <v>101</v>
      </c>
      <c r="M29" s="1" t="s">
        <v>102</v>
      </c>
      <c r="N29" s="1" t="s">
        <v>26</v>
      </c>
      <c r="O29" s="1">
        <v>21633</v>
      </c>
      <c r="P29" s="3" t="str">
        <f>IF(Table1[[#This Row],[Designation]]="Line Operator","Line Operator", "Other")</f>
        <v>Line Operator</v>
      </c>
    </row>
    <row r="30" spans="1:16" ht="15.75" customHeight="1" x14ac:dyDescent="0.25">
      <c r="A30" s="1" t="s">
        <v>103</v>
      </c>
      <c r="B30" s="1" t="s">
        <v>104</v>
      </c>
      <c r="C30" s="1" t="s">
        <v>36</v>
      </c>
      <c r="D30" s="1" t="s">
        <v>18</v>
      </c>
      <c r="E30" s="1" t="s">
        <v>30</v>
      </c>
      <c r="F30" s="1" t="s">
        <v>31</v>
      </c>
      <c r="G30" s="8">
        <v>45430</v>
      </c>
      <c r="H30" s="1">
        <v>45250</v>
      </c>
      <c r="I30" s="1" t="s">
        <v>21</v>
      </c>
      <c r="J30" s="1" t="s">
        <v>37</v>
      </c>
      <c r="K30" s="1" t="s">
        <v>38</v>
      </c>
      <c r="L30" s="1" t="s">
        <v>69</v>
      </c>
      <c r="M30" s="1" t="s">
        <v>40</v>
      </c>
      <c r="N30" s="1" t="s">
        <v>26</v>
      </c>
      <c r="O30" s="1">
        <v>10000</v>
      </c>
      <c r="P30" s="3" t="str">
        <f>IF(Table1[[#This Row],[Designation]]="Line Operator","Line Operator", "Other")</f>
        <v>Line Operator</v>
      </c>
    </row>
    <row r="31" spans="1:16" ht="15.75" customHeight="1" x14ac:dyDescent="0.25">
      <c r="A31" s="1" t="s">
        <v>105</v>
      </c>
      <c r="B31" s="1" t="s">
        <v>106</v>
      </c>
      <c r="C31" s="1" t="s">
        <v>44</v>
      </c>
      <c r="D31" s="1" t="s">
        <v>18</v>
      </c>
      <c r="E31" s="1" t="s">
        <v>19</v>
      </c>
      <c r="F31" s="1" t="s">
        <v>31</v>
      </c>
      <c r="G31" s="8">
        <v>45442</v>
      </c>
      <c r="H31" s="1">
        <v>45262</v>
      </c>
      <c r="I31" s="1" t="s">
        <v>21</v>
      </c>
      <c r="J31" s="1" t="s">
        <v>37</v>
      </c>
      <c r="K31" s="1" t="s">
        <v>58</v>
      </c>
      <c r="L31" s="1" t="s">
        <v>46</v>
      </c>
      <c r="M31" s="1" t="s">
        <v>47</v>
      </c>
      <c r="N31" s="1" t="s">
        <v>26</v>
      </c>
      <c r="O31" s="1">
        <v>10000</v>
      </c>
      <c r="P31" s="3" t="str">
        <f>IF(Table1[[#This Row],[Designation]]="Line Operator","Line Operator", "Other")</f>
        <v>Line Operator</v>
      </c>
    </row>
    <row r="32" spans="1:16" ht="15.75" customHeight="1" x14ac:dyDescent="0.25">
      <c r="A32" s="1" t="s">
        <v>107</v>
      </c>
      <c r="B32" s="1" t="s">
        <v>108</v>
      </c>
      <c r="C32" s="1" t="s">
        <v>44</v>
      </c>
      <c r="D32" s="1" t="s">
        <v>18</v>
      </c>
      <c r="E32" s="1" t="s">
        <v>30</v>
      </c>
      <c r="F32" s="1" t="s">
        <v>31</v>
      </c>
      <c r="G32" s="8">
        <v>45449</v>
      </c>
      <c r="H32" s="1">
        <v>45269</v>
      </c>
      <c r="I32" s="1" t="s">
        <v>21</v>
      </c>
      <c r="J32" s="1" t="s">
        <v>22</v>
      </c>
      <c r="K32" s="1" t="s">
        <v>32</v>
      </c>
      <c r="L32" s="1" t="s">
        <v>24</v>
      </c>
      <c r="M32" s="1" t="s">
        <v>25</v>
      </c>
      <c r="N32" s="1" t="s">
        <v>26</v>
      </c>
      <c r="O32" s="1">
        <v>5000</v>
      </c>
      <c r="P32" s="3" t="str">
        <f>IF(Table1[[#This Row],[Designation]]="Line Operator","Line Operator", "Other")</f>
        <v>Line Operator</v>
      </c>
    </row>
    <row r="33" spans="1:16" ht="15.75" customHeight="1" x14ac:dyDescent="0.25">
      <c r="A33" s="1" t="s">
        <v>109</v>
      </c>
      <c r="B33" s="1" t="s">
        <v>110</v>
      </c>
      <c r="C33" s="1" t="s">
        <v>36</v>
      </c>
      <c r="D33" s="1" t="s">
        <v>18</v>
      </c>
      <c r="E33" s="1" t="s">
        <v>19</v>
      </c>
      <c r="F33" s="1" t="s">
        <v>31</v>
      </c>
      <c r="G33" s="8">
        <v>45450</v>
      </c>
      <c r="H33" s="1">
        <v>45270</v>
      </c>
      <c r="I33" s="1" t="s">
        <v>21</v>
      </c>
      <c r="J33" s="1" t="s">
        <v>22</v>
      </c>
      <c r="K33" s="1" t="s">
        <v>23</v>
      </c>
      <c r="L33" s="1" t="s">
        <v>24</v>
      </c>
      <c r="M33" s="1" t="s">
        <v>25</v>
      </c>
      <c r="N33" s="1" t="s">
        <v>26</v>
      </c>
      <c r="O33" s="1">
        <v>10000</v>
      </c>
      <c r="P33" s="3" t="str">
        <f>IF(Table1[[#This Row],[Designation]]="Line Operator","Line Operator", "Other")</f>
        <v>Line Operator</v>
      </c>
    </row>
    <row r="34" spans="1:16" ht="15.75" customHeight="1" x14ac:dyDescent="0.25">
      <c r="A34" s="1" t="s">
        <v>111</v>
      </c>
      <c r="B34" s="1" t="s">
        <v>112</v>
      </c>
      <c r="C34" s="1" t="s">
        <v>36</v>
      </c>
      <c r="D34" s="1" t="s">
        <v>18</v>
      </c>
      <c r="E34" s="1" t="s">
        <v>75</v>
      </c>
      <c r="F34" s="1" t="s">
        <v>31</v>
      </c>
      <c r="G34" s="8">
        <v>45450</v>
      </c>
      <c r="H34" s="1">
        <v>45270</v>
      </c>
      <c r="I34" s="1" t="s">
        <v>21</v>
      </c>
      <c r="J34" s="1" t="s">
        <v>22</v>
      </c>
      <c r="K34" s="1" t="s">
        <v>58</v>
      </c>
      <c r="L34" s="1" t="s">
        <v>96</v>
      </c>
      <c r="M34" s="1" t="s">
        <v>47</v>
      </c>
      <c r="N34" s="1" t="s">
        <v>26</v>
      </c>
      <c r="O34" s="1">
        <v>6211</v>
      </c>
      <c r="P34" s="3" t="str">
        <f>IF(Table1[[#This Row],[Designation]]="Line Operator","Line Operator", "Other")</f>
        <v>Line Operator</v>
      </c>
    </row>
    <row r="35" spans="1:16" ht="15.75" customHeight="1" x14ac:dyDescent="0.25">
      <c r="A35" s="1" t="s">
        <v>113</v>
      </c>
      <c r="B35" s="1" t="s">
        <v>114</v>
      </c>
      <c r="C35" s="1" t="s">
        <v>36</v>
      </c>
      <c r="D35" s="1" t="s">
        <v>18</v>
      </c>
      <c r="E35" s="1" t="s">
        <v>75</v>
      </c>
      <c r="F35" s="1" t="s">
        <v>31</v>
      </c>
      <c r="G35" s="8">
        <v>45450</v>
      </c>
      <c r="H35" s="1">
        <v>45270</v>
      </c>
      <c r="I35" s="1" t="s">
        <v>21</v>
      </c>
      <c r="J35" s="1" t="s">
        <v>22</v>
      </c>
      <c r="K35" s="1" t="s">
        <v>115</v>
      </c>
      <c r="L35" s="1" t="s">
        <v>116</v>
      </c>
      <c r="M35" s="1" t="s">
        <v>47</v>
      </c>
      <c r="N35" s="1" t="s">
        <v>26</v>
      </c>
      <c r="O35" s="1">
        <v>36352</v>
      </c>
      <c r="P35" s="3" t="str">
        <f>IF(Table1[[#This Row],[Designation]]="Line Operator","Line Operator", "Other")</f>
        <v>Line Operator</v>
      </c>
    </row>
    <row r="36" spans="1:16" ht="15.75" customHeight="1" x14ac:dyDescent="0.25">
      <c r="A36" s="1" t="s">
        <v>117</v>
      </c>
      <c r="B36" s="1" t="s">
        <v>118</v>
      </c>
      <c r="C36" s="1" t="s">
        <v>36</v>
      </c>
      <c r="D36" s="1" t="s">
        <v>18</v>
      </c>
      <c r="E36" s="1" t="s">
        <v>75</v>
      </c>
      <c r="F36" s="1" t="s">
        <v>31</v>
      </c>
      <c r="G36" s="8">
        <v>45450</v>
      </c>
      <c r="H36" s="1">
        <v>45270</v>
      </c>
      <c r="I36" s="1" t="s">
        <v>21</v>
      </c>
      <c r="J36" s="1" t="s">
        <v>22</v>
      </c>
      <c r="K36" s="1" t="s">
        <v>115</v>
      </c>
      <c r="L36" s="1" t="s">
        <v>119</v>
      </c>
      <c r="M36" s="1" t="s">
        <v>25</v>
      </c>
      <c r="N36" s="1" t="s">
        <v>26</v>
      </c>
      <c r="O36" s="1">
        <v>2581</v>
      </c>
      <c r="P36" s="3" t="str">
        <f>IF(Table1[[#This Row],[Designation]]="Line Operator","Line Operator", "Other")</f>
        <v>Line Operator</v>
      </c>
    </row>
    <row r="37" spans="1:16" ht="15.75" customHeight="1" x14ac:dyDescent="0.25">
      <c r="A37" s="1" t="s">
        <v>120</v>
      </c>
      <c r="B37" s="1" t="s">
        <v>121</v>
      </c>
      <c r="C37" s="1" t="s">
        <v>36</v>
      </c>
      <c r="D37" s="1" t="s">
        <v>18</v>
      </c>
      <c r="E37" s="1" t="s">
        <v>75</v>
      </c>
      <c r="F37" s="1" t="s">
        <v>31</v>
      </c>
      <c r="G37" s="8">
        <v>45450</v>
      </c>
      <c r="H37" s="1">
        <v>45270</v>
      </c>
      <c r="I37" s="1" t="s">
        <v>21</v>
      </c>
      <c r="J37" s="1" t="s">
        <v>22</v>
      </c>
      <c r="K37" s="1" t="s">
        <v>23</v>
      </c>
      <c r="L37" s="1" t="s">
        <v>96</v>
      </c>
      <c r="M37" s="1" t="s">
        <v>47</v>
      </c>
      <c r="N37" s="1" t="s">
        <v>26</v>
      </c>
      <c r="O37" s="1">
        <v>2365</v>
      </c>
      <c r="P37" s="3" t="str">
        <f>IF(Table1[[#This Row],[Designation]]="Line Operator","Line Operator", "Other")</f>
        <v>Line Operator</v>
      </c>
    </row>
    <row r="38" spans="1:16" ht="15.75" customHeight="1" x14ac:dyDescent="0.25">
      <c r="A38" s="1" t="s">
        <v>122</v>
      </c>
      <c r="B38" s="1" t="s">
        <v>123</v>
      </c>
      <c r="C38" s="1" t="s">
        <v>36</v>
      </c>
      <c r="D38" s="1" t="s">
        <v>18</v>
      </c>
      <c r="E38" s="1" t="s">
        <v>75</v>
      </c>
      <c r="F38" s="1" t="s">
        <v>31</v>
      </c>
      <c r="G38" s="8">
        <v>45450</v>
      </c>
      <c r="H38" s="1">
        <v>45270</v>
      </c>
      <c r="I38" s="1" t="s">
        <v>21</v>
      </c>
      <c r="J38" s="1" t="s">
        <v>37</v>
      </c>
      <c r="K38" s="1" t="s">
        <v>23</v>
      </c>
      <c r="L38" s="1" t="s">
        <v>124</v>
      </c>
      <c r="M38" s="1" t="s">
        <v>47</v>
      </c>
      <c r="N38" s="1" t="s">
        <v>26</v>
      </c>
      <c r="O38" s="1">
        <v>10000</v>
      </c>
      <c r="P38" s="3" t="str">
        <f>IF(Table1[[#This Row],[Designation]]="Line Operator","Line Operator", "Other")</f>
        <v>Line Operator</v>
      </c>
    </row>
    <row r="39" spans="1:16" ht="15.75" customHeight="1" x14ac:dyDescent="0.25">
      <c r="A39" s="1" t="s">
        <v>125</v>
      </c>
      <c r="B39" s="1" t="s">
        <v>126</v>
      </c>
      <c r="C39" s="1" t="s">
        <v>17</v>
      </c>
      <c r="D39" s="1" t="s">
        <v>18</v>
      </c>
      <c r="E39" s="1" t="s">
        <v>75</v>
      </c>
      <c r="F39" s="1" t="s">
        <v>31</v>
      </c>
      <c r="G39" s="8">
        <v>45450</v>
      </c>
      <c r="H39" s="1">
        <v>45270</v>
      </c>
      <c r="I39" s="1" t="s">
        <v>21</v>
      </c>
      <c r="J39" s="1" t="s">
        <v>22</v>
      </c>
      <c r="K39" s="1" t="s">
        <v>23</v>
      </c>
      <c r="L39" s="1" t="s">
        <v>24</v>
      </c>
      <c r="M39" s="1" t="s">
        <v>25</v>
      </c>
      <c r="N39" s="1" t="s">
        <v>26</v>
      </c>
      <c r="O39" s="1">
        <v>10000</v>
      </c>
      <c r="P39" s="3" t="str">
        <f>IF(Table1[[#This Row],[Designation]]="Line Operator","Line Operator", "Other")</f>
        <v>Line Operator</v>
      </c>
    </row>
    <row r="40" spans="1:16" ht="15.75" customHeight="1" x14ac:dyDescent="0.25">
      <c r="A40" s="1" t="s">
        <v>127</v>
      </c>
      <c r="B40" s="1" t="s">
        <v>128</v>
      </c>
      <c r="C40" s="1" t="s">
        <v>36</v>
      </c>
      <c r="D40" s="1" t="s">
        <v>18</v>
      </c>
      <c r="E40" s="1" t="s">
        <v>75</v>
      </c>
      <c r="F40" s="1" t="s">
        <v>31</v>
      </c>
      <c r="G40" s="8">
        <v>45450</v>
      </c>
      <c r="H40" s="1">
        <v>45270</v>
      </c>
      <c r="I40" s="1" t="s">
        <v>21</v>
      </c>
      <c r="J40" s="1" t="s">
        <v>22</v>
      </c>
      <c r="K40" s="1" t="s">
        <v>115</v>
      </c>
      <c r="L40" s="1" t="s">
        <v>24</v>
      </c>
      <c r="M40" s="1" t="s">
        <v>25</v>
      </c>
      <c r="N40" s="1" t="s">
        <v>26</v>
      </c>
      <c r="O40" s="1">
        <v>16554</v>
      </c>
      <c r="P40" s="3" t="str">
        <f>IF(Table1[[#This Row],[Designation]]="Line Operator","Line Operator", "Other")</f>
        <v>Line Operator</v>
      </c>
    </row>
    <row r="41" spans="1:16" ht="15.75" customHeight="1" x14ac:dyDescent="0.25">
      <c r="A41" s="1" t="s">
        <v>129</v>
      </c>
      <c r="B41" s="1" t="s">
        <v>130</v>
      </c>
      <c r="C41" s="1" t="s">
        <v>36</v>
      </c>
      <c r="D41" s="1" t="s">
        <v>18</v>
      </c>
      <c r="E41" s="1" t="s">
        <v>75</v>
      </c>
      <c r="F41" s="1" t="s">
        <v>31</v>
      </c>
      <c r="G41" s="8">
        <v>45450</v>
      </c>
      <c r="H41" s="1">
        <v>45270</v>
      </c>
      <c r="I41" s="1" t="s">
        <v>21</v>
      </c>
      <c r="J41" s="1" t="s">
        <v>22</v>
      </c>
      <c r="K41" s="1" t="s">
        <v>58</v>
      </c>
      <c r="L41" s="1" t="s">
        <v>24</v>
      </c>
      <c r="M41" s="1" t="s">
        <v>25</v>
      </c>
      <c r="N41" s="1" t="s">
        <v>26</v>
      </c>
      <c r="O41" s="1">
        <v>10000</v>
      </c>
      <c r="P41" s="3" t="str">
        <f>IF(Table1[[#This Row],[Designation]]="Line Operator","Line Operator", "Other")</f>
        <v>Line Operator</v>
      </c>
    </row>
    <row r="42" spans="1:16" ht="15.75" customHeight="1" x14ac:dyDescent="0.25">
      <c r="A42" s="1" t="s">
        <v>131</v>
      </c>
      <c r="B42" s="1" t="s">
        <v>132</v>
      </c>
      <c r="C42" s="1" t="s">
        <v>36</v>
      </c>
      <c r="D42" s="1" t="s">
        <v>18</v>
      </c>
      <c r="E42" s="1" t="s">
        <v>75</v>
      </c>
      <c r="F42" s="1" t="s">
        <v>31</v>
      </c>
      <c r="G42" s="8">
        <v>45450</v>
      </c>
      <c r="H42" s="1">
        <v>45270</v>
      </c>
      <c r="I42" s="1" t="s">
        <v>21</v>
      </c>
      <c r="J42" s="1" t="s">
        <v>37</v>
      </c>
      <c r="K42" s="1" t="s">
        <v>32</v>
      </c>
      <c r="L42" s="1" t="s">
        <v>24</v>
      </c>
      <c r="M42" s="1" t="s">
        <v>25</v>
      </c>
      <c r="N42" s="1" t="s">
        <v>26</v>
      </c>
      <c r="O42" s="1">
        <v>10000</v>
      </c>
      <c r="P42" s="3" t="str">
        <f>IF(Table1[[#This Row],[Designation]]="Line Operator","Line Operator", "Other")</f>
        <v>Line Operator</v>
      </c>
    </row>
    <row r="43" spans="1:16" ht="15.75" customHeight="1" x14ac:dyDescent="0.25">
      <c r="A43" s="1" t="s">
        <v>133</v>
      </c>
      <c r="B43" s="1" t="s">
        <v>134</v>
      </c>
      <c r="C43" s="1" t="s">
        <v>36</v>
      </c>
      <c r="D43" s="1" t="s">
        <v>18</v>
      </c>
      <c r="E43" s="1" t="s">
        <v>75</v>
      </c>
      <c r="F43" s="1" t="s">
        <v>31</v>
      </c>
      <c r="G43" s="8">
        <v>45450</v>
      </c>
      <c r="H43" s="1">
        <v>45270</v>
      </c>
      <c r="I43" s="1" t="s">
        <v>21</v>
      </c>
      <c r="J43" s="1" t="s">
        <v>37</v>
      </c>
      <c r="K43" s="1" t="s">
        <v>23</v>
      </c>
      <c r="L43" s="1" t="s">
        <v>24</v>
      </c>
      <c r="M43" s="1" t="s">
        <v>25</v>
      </c>
      <c r="N43" s="1" t="s">
        <v>26</v>
      </c>
      <c r="O43" s="1">
        <v>10000</v>
      </c>
      <c r="P43" s="3" t="str">
        <f>IF(Table1[[#This Row],[Designation]]="Line Operator","Line Operator", "Other")</f>
        <v>Line Operator</v>
      </c>
    </row>
    <row r="44" spans="1:16" ht="15.75" customHeight="1" x14ac:dyDescent="0.25">
      <c r="A44" s="1" t="s">
        <v>135</v>
      </c>
      <c r="B44" s="1" t="s">
        <v>136</v>
      </c>
      <c r="C44" s="1" t="s">
        <v>44</v>
      </c>
      <c r="D44" s="1" t="s">
        <v>18</v>
      </c>
      <c r="E44" s="1" t="s">
        <v>75</v>
      </c>
      <c r="F44" s="1" t="s">
        <v>31</v>
      </c>
      <c r="G44" s="8">
        <v>45450</v>
      </c>
      <c r="H44" s="1">
        <v>45270</v>
      </c>
      <c r="I44" s="1" t="s">
        <v>81</v>
      </c>
      <c r="J44" s="1" t="s">
        <v>37</v>
      </c>
      <c r="K44" s="1" t="s">
        <v>32</v>
      </c>
      <c r="L44" s="1" t="s">
        <v>24</v>
      </c>
      <c r="M44" s="1" t="s">
        <v>25</v>
      </c>
      <c r="N44" s="1" t="s">
        <v>26</v>
      </c>
      <c r="O44" s="1">
        <v>165146</v>
      </c>
      <c r="P44" s="3" t="str">
        <f>IF(Table1[[#This Row],[Designation]]="Line Operator","Line Operator", "Other")</f>
        <v>Line Operator</v>
      </c>
    </row>
    <row r="45" spans="1:16" ht="15.75" customHeight="1" x14ac:dyDescent="0.25">
      <c r="A45" s="1" t="s">
        <v>137</v>
      </c>
      <c r="B45" s="1" t="s">
        <v>138</v>
      </c>
      <c r="C45" s="1" t="s">
        <v>17</v>
      </c>
      <c r="D45" s="1" t="s">
        <v>18</v>
      </c>
      <c r="E45" s="1" t="s">
        <v>75</v>
      </c>
      <c r="F45" s="1" t="s">
        <v>31</v>
      </c>
      <c r="G45" s="8">
        <v>45450</v>
      </c>
      <c r="H45" s="1">
        <v>45270</v>
      </c>
      <c r="I45" s="1" t="s">
        <v>21</v>
      </c>
      <c r="J45" s="1" t="s">
        <v>22</v>
      </c>
      <c r="K45" s="1" t="s">
        <v>38</v>
      </c>
      <c r="L45" s="1" t="s">
        <v>96</v>
      </c>
      <c r="M45" s="1" t="s">
        <v>47</v>
      </c>
      <c r="N45" s="1" t="s">
        <v>26</v>
      </c>
      <c r="O45" s="1">
        <v>10000</v>
      </c>
      <c r="P45" s="3" t="str">
        <f>IF(Table1[[#This Row],[Designation]]="Line Operator","Line Operator", "Other")</f>
        <v>Line Operator</v>
      </c>
    </row>
    <row r="46" spans="1:16" ht="15.75" customHeight="1" x14ac:dyDescent="0.25">
      <c r="A46" s="1" t="s">
        <v>139</v>
      </c>
      <c r="B46" s="1" t="s">
        <v>140</v>
      </c>
      <c r="C46" s="1" t="s">
        <v>17</v>
      </c>
      <c r="D46" s="1" t="s">
        <v>18</v>
      </c>
      <c r="E46" s="1" t="s">
        <v>75</v>
      </c>
      <c r="F46" s="1" t="s">
        <v>31</v>
      </c>
      <c r="G46" s="8">
        <v>45450</v>
      </c>
      <c r="H46" s="1">
        <v>45270</v>
      </c>
      <c r="I46" s="1" t="s">
        <v>21</v>
      </c>
      <c r="J46" s="1" t="s">
        <v>22</v>
      </c>
      <c r="K46" s="1" t="s">
        <v>141</v>
      </c>
      <c r="L46" s="1" t="s">
        <v>24</v>
      </c>
      <c r="M46" s="1" t="s">
        <v>25</v>
      </c>
      <c r="N46" s="1" t="s">
        <v>26</v>
      </c>
      <c r="O46" s="1">
        <v>10000</v>
      </c>
      <c r="P46" s="3" t="str">
        <f>IF(Table1[[#This Row],[Designation]]="Line Operator","Line Operator", "Other")</f>
        <v>Line Operator</v>
      </c>
    </row>
    <row r="47" spans="1:16" ht="15.75" customHeight="1" x14ac:dyDescent="0.25">
      <c r="A47" s="1" t="s">
        <v>142</v>
      </c>
      <c r="B47" s="1" t="s">
        <v>143</v>
      </c>
      <c r="C47" s="1" t="s">
        <v>17</v>
      </c>
      <c r="D47" s="1" t="s">
        <v>18</v>
      </c>
      <c r="E47" s="1" t="s">
        <v>75</v>
      </c>
      <c r="F47" s="1" t="s">
        <v>31</v>
      </c>
      <c r="G47" s="8">
        <v>45450</v>
      </c>
      <c r="H47" s="1">
        <v>45270</v>
      </c>
      <c r="I47" s="1" t="s">
        <v>21</v>
      </c>
      <c r="J47" s="1" t="s">
        <v>22</v>
      </c>
      <c r="K47" s="1" t="s">
        <v>23</v>
      </c>
      <c r="L47" s="1" t="s">
        <v>24</v>
      </c>
      <c r="M47" s="1" t="s">
        <v>25</v>
      </c>
      <c r="N47" s="1" t="s">
        <v>26</v>
      </c>
      <c r="O47" s="1">
        <v>215</v>
      </c>
      <c r="P47" s="3" t="str">
        <f>IF(Table1[[#This Row],[Designation]]="Line Operator","Line Operator", "Other")</f>
        <v>Line Operator</v>
      </c>
    </row>
    <row r="48" spans="1:16" ht="15.75" customHeight="1" x14ac:dyDescent="0.25">
      <c r="A48" s="1" t="s">
        <v>144</v>
      </c>
      <c r="B48" s="1" t="s">
        <v>145</v>
      </c>
      <c r="C48" s="1" t="s">
        <v>36</v>
      </c>
      <c r="D48" s="1" t="s">
        <v>18</v>
      </c>
      <c r="E48" s="1" t="s">
        <v>75</v>
      </c>
      <c r="F48" s="1" t="s">
        <v>31</v>
      </c>
      <c r="G48" s="8">
        <v>45450</v>
      </c>
      <c r="H48" s="1">
        <v>45270</v>
      </c>
      <c r="I48" s="1" t="s">
        <v>21</v>
      </c>
      <c r="J48" s="1" t="s">
        <v>22</v>
      </c>
      <c r="K48" s="1" t="s">
        <v>38</v>
      </c>
      <c r="L48" s="1" t="s">
        <v>24</v>
      </c>
      <c r="M48" s="1" t="s">
        <v>25</v>
      </c>
      <c r="N48" s="1" t="s">
        <v>26</v>
      </c>
      <c r="O48" s="1">
        <v>10000</v>
      </c>
      <c r="P48" s="3" t="str">
        <f>IF(Table1[[#This Row],[Designation]]="Line Operator","Line Operator", "Other")</f>
        <v>Line Operator</v>
      </c>
    </row>
    <row r="49" spans="1:16" ht="15.75" customHeight="1" x14ac:dyDescent="0.25">
      <c r="A49" s="1" t="s">
        <v>146</v>
      </c>
      <c r="B49" s="1" t="s">
        <v>147</v>
      </c>
      <c r="C49" s="1" t="s">
        <v>36</v>
      </c>
      <c r="D49" s="1" t="s">
        <v>18</v>
      </c>
      <c r="E49" s="1" t="s">
        <v>75</v>
      </c>
      <c r="F49" s="1" t="s">
        <v>31</v>
      </c>
      <c r="G49" s="8">
        <v>45450</v>
      </c>
      <c r="H49" s="1">
        <v>45270</v>
      </c>
      <c r="I49" s="1" t="s">
        <v>81</v>
      </c>
      <c r="J49" s="1" t="s">
        <v>22</v>
      </c>
      <c r="K49" s="1" t="s">
        <v>148</v>
      </c>
      <c r="L49" s="1" t="s">
        <v>96</v>
      </c>
      <c r="M49" s="1" t="s">
        <v>47</v>
      </c>
      <c r="N49" s="1" t="s">
        <v>26</v>
      </c>
      <c r="O49" s="1">
        <v>10000</v>
      </c>
      <c r="P49" s="3" t="str">
        <f>IF(Table1[[#This Row],[Designation]]="Line Operator","Line Operator", "Other")</f>
        <v>Line Operator</v>
      </c>
    </row>
    <row r="50" spans="1:16" ht="15.75" customHeight="1" x14ac:dyDescent="0.25">
      <c r="A50" s="1" t="s">
        <v>149</v>
      </c>
      <c r="B50" s="1" t="s">
        <v>150</v>
      </c>
      <c r="C50" s="1" t="s">
        <v>36</v>
      </c>
      <c r="D50" s="1" t="s">
        <v>18</v>
      </c>
      <c r="E50" s="1" t="s">
        <v>75</v>
      </c>
      <c r="F50" s="1" t="s">
        <v>31</v>
      </c>
      <c r="G50" s="8">
        <v>45450</v>
      </c>
      <c r="H50" s="1">
        <v>45270</v>
      </c>
      <c r="I50" s="1" t="s">
        <v>21</v>
      </c>
      <c r="J50" s="1" t="s">
        <v>22</v>
      </c>
      <c r="K50" s="1" t="s">
        <v>23</v>
      </c>
      <c r="L50" s="1" t="s">
        <v>69</v>
      </c>
      <c r="M50" s="1" t="s">
        <v>40</v>
      </c>
      <c r="N50" s="1" t="s">
        <v>26</v>
      </c>
      <c r="O50" s="1">
        <v>16365</v>
      </c>
      <c r="P50" s="3" t="str">
        <f>IF(Table1[[#This Row],[Designation]]="Line Operator","Line Operator", "Other")</f>
        <v>Line Operator</v>
      </c>
    </row>
    <row r="51" spans="1:16" ht="15.75" customHeight="1" x14ac:dyDescent="0.25">
      <c r="A51" s="1" t="s">
        <v>151</v>
      </c>
      <c r="B51" s="1" t="s">
        <v>152</v>
      </c>
      <c r="C51" s="1" t="s">
        <v>36</v>
      </c>
      <c r="D51" s="1" t="s">
        <v>18</v>
      </c>
      <c r="E51" s="1" t="s">
        <v>75</v>
      </c>
      <c r="F51" s="1" t="s">
        <v>31</v>
      </c>
      <c r="G51" s="8">
        <v>45450</v>
      </c>
      <c r="H51" s="1">
        <v>45270</v>
      </c>
      <c r="I51" s="1" t="s">
        <v>81</v>
      </c>
      <c r="J51" s="1" t="s">
        <v>22</v>
      </c>
      <c r="K51" s="1" t="s">
        <v>23</v>
      </c>
      <c r="L51" s="1" t="s">
        <v>124</v>
      </c>
      <c r="M51" s="1" t="s">
        <v>47</v>
      </c>
      <c r="N51" s="1" t="s">
        <v>26</v>
      </c>
      <c r="O51" s="1">
        <v>10000</v>
      </c>
      <c r="P51" s="3" t="str">
        <f>IF(Table1[[#This Row],[Designation]]="Line Operator","Line Operator", "Other")</f>
        <v>Line Operator</v>
      </c>
    </row>
    <row r="52" spans="1:16" ht="15.75" customHeight="1" x14ac:dyDescent="0.25">
      <c r="A52" s="1" t="s">
        <v>153</v>
      </c>
      <c r="B52" s="1" t="s">
        <v>154</v>
      </c>
      <c r="C52" s="1" t="s">
        <v>36</v>
      </c>
      <c r="D52" s="1" t="s">
        <v>18</v>
      </c>
      <c r="E52" s="1" t="s">
        <v>75</v>
      </c>
      <c r="F52" s="1" t="s">
        <v>31</v>
      </c>
      <c r="G52" s="8">
        <v>45450</v>
      </c>
      <c r="H52" s="1">
        <v>45270</v>
      </c>
      <c r="I52" s="1" t="s">
        <v>21</v>
      </c>
      <c r="J52" s="1" t="s">
        <v>22</v>
      </c>
      <c r="K52" s="1" t="s">
        <v>115</v>
      </c>
      <c r="L52" s="1" t="s">
        <v>24</v>
      </c>
      <c r="M52" s="1" t="s">
        <v>25</v>
      </c>
      <c r="N52" s="1" t="s">
        <v>26</v>
      </c>
      <c r="O52" s="1">
        <v>10000</v>
      </c>
      <c r="P52" s="3" t="str">
        <f>IF(Table1[[#This Row],[Designation]]="Line Operator","Line Operator", "Other")</f>
        <v>Line Operator</v>
      </c>
    </row>
    <row r="53" spans="1:16" ht="15.75" customHeight="1" x14ac:dyDescent="0.25">
      <c r="A53" s="1" t="s">
        <v>155</v>
      </c>
      <c r="B53" s="1" t="s">
        <v>156</v>
      </c>
      <c r="C53" s="1" t="s">
        <v>36</v>
      </c>
      <c r="D53" s="1" t="s">
        <v>18</v>
      </c>
      <c r="E53" s="1" t="s">
        <v>75</v>
      </c>
      <c r="F53" s="1" t="s">
        <v>31</v>
      </c>
      <c r="G53" s="8">
        <v>45450</v>
      </c>
      <c r="H53" s="1">
        <v>45270</v>
      </c>
      <c r="I53" s="1" t="s">
        <v>81</v>
      </c>
      <c r="J53" s="1" t="s">
        <v>22</v>
      </c>
      <c r="K53" s="1" t="s">
        <v>38</v>
      </c>
      <c r="L53" s="1" t="s">
        <v>96</v>
      </c>
      <c r="M53" s="1" t="s">
        <v>47</v>
      </c>
      <c r="N53" s="1" t="s">
        <v>26</v>
      </c>
      <c r="O53" s="1">
        <v>1636</v>
      </c>
      <c r="P53" s="3" t="str">
        <f>IF(Table1[[#This Row],[Designation]]="Line Operator","Line Operator", "Other")</f>
        <v>Line Operator</v>
      </c>
    </row>
    <row r="54" spans="1:16" ht="15.75" customHeight="1" x14ac:dyDescent="0.25">
      <c r="A54" s="1" t="s">
        <v>157</v>
      </c>
      <c r="B54" s="1" t="s">
        <v>158</v>
      </c>
      <c r="C54" s="1" t="s">
        <v>36</v>
      </c>
      <c r="D54" s="1" t="s">
        <v>18</v>
      </c>
      <c r="E54" s="1" t="s">
        <v>75</v>
      </c>
      <c r="F54" s="1" t="s">
        <v>31</v>
      </c>
      <c r="G54" s="8">
        <v>45450</v>
      </c>
      <c r="H54" s="1">
        <v>45270</v>
      </c>
      <c r="I54" s="1" t="s">
        <v>81</v>
      </c>
      <c r="J54" s="1" t="s">
        <v>22</v>
      </c>
      <c r="K54" s="1" t="s">
        <v>38</v>
      </c>
      <c r="L54" s="1" t="s">
        <v>24</v>
      </c>
      <c r="M54" s="1" t="s">
        <v>25</v>
      </c>
      <c r="N54" s="1" t="s">
        <v>26</v>
      </c>
      <c r="O54" s="1">
        <v>10000</v>
      </c>
      <c r="P54" s="3" t="str">
        <f>IF(Table1[[#This Row],[Designation]]="Line Operator","Line Operator", "Other")</f>
        <v>Line Operator</v>
      </c>
    </row>
    <row r="55" spans="1:16" ht="15.75" customHeight="1" x14ac:dyDescent="0.25">
      <c r="A55" s="1" t="s">
        <v>159</v>
      </c>
      <c r="B55" s="1" t="s">
        <v>160</v>
      </c>
      <c r="C55" s="1" t="s">
        <v>17</v>
      </c>
      <c r="D55" s="1" t="s">
        <v>18</v>
      </c>
      <c r="E55" s="1" t="s">
        <v>75</v>
      </c>
      <c r="F55" s="1" t="s">
        <v>31</v>
      </c>
      <c r="G55" s="8">
        <v>45450</v>
      </c>
      <c r="H55" s="1">
        <v>45270</v>
      </c>
      <c r="I55" s="1" t="s">
        <v>81</v>
      </c>
      <c r="J55" s="1" t="s">
        <v>22</v>
      </c>
      <c r="K55" s="1" t="s">
        <v>38</v>
      </c>
      <c r="L55" s="1" t="s">
        <v>24</v>
      </c>
      <c r="M55" s="1" t="s">
        <v>25</v>
      </c>
      <c r="N55" s="1" t="s">
        <v>26</v>
      </c>
      <c r="O55" s="1">
        <v>10000</v>
      </c>
      <c r="P55" s="3" t="str">
        <f>IF(Table1[[#This Row],[Designation]]="Line Operator","Line Operator", "Other")</f>
        <v>Line Operator</v>
      </c>
    </row>
    <row r="56" spans="1:16" ht="15.75" customHeight="1" x14ac:dyDescent="0.25">
      <c r="A56" s="1" t="s">
        <v>161</v>
      </c>
      <c r="B56" s="1" t="s">
        <v>162</v>
      </c>
      <c r="C56" s="1" t="s">
        <v>36</v>
      </c>
      <c r="D56" s="1" t="s">
        <v>18</v>
      </c>
      <c r="E56" s="1" t="s">
        <v>75</v>
      </c>
      <c r="F56" s="1" t="s">
        <v>31</v>
      </c>
      <c r="G56" s="8">
        <v>45450</v>
      </c>
      <c r="H56" s="1">
        <v>45270</v>
      </c>
      <c r="I56" s="1" t="s">
        <v>81</v>
      </c>
      <c r="J56" s="1" t="s">
        <v>22</v>
      </c>
      <c r="K56" s="1" t="s">
        <v>38</v>
      </c>
      <c r="L56" s="1" t="s">
        <v>96</v>
      </c>
      <c r="M56" s="1" t="s">
        <v>47</v>
      </c>
      <c r="N56" s="1" t="s">
        <v>26</v>
      </c>
      <c r="O56" s="1">
        <v>2163263</v>
      </c>
      <c r="P56" s="3" t="str">
        <f>IF(Table1[[#This Row],[Designation]]="Line Operator","Line Operator", "Other")</f>
        <v>Line Operator</v>
      </c>
    </row>
    <row r="57" spans="1:16" ht="15.75" customHeight="1" x14ac:dyDescent="0.25">
      <c r="A57" s="1" t="s">
        <v>163</v>
      </c>
      <c r="B57" s="1" t="s">
        <v>164</v>
      </c>
      <c r="C57" s="1" t="s">
        <v>36</v>
      </c>
      <c r="D57" s="1" t="s">
        <v>18</v>
      </c>
      <c r="E57" s="1" t="s">
        <v>75</v>
      </c>
      <c r="F57" s="1" t="s">
        <v>31</v>
      </c>
      <c r="G57" s="8">
        <v>45450</v>
      </c>
      <c r="H57" s="1">
        <v>45270</v>
      </c>
      <c r="I57" s="1" t="s">
        <v>81</v>
      </c>
      <c r="J57" s="1" t="s">
        <v>37</v>
      </c>
      <c r="K57" s="1" t="s">
        <v>23</v>
      </c>
      <c r="L57" s="1" t="s">
        <v>24</v>
      </c>
      <c r="M57" s="1" t="s">
        <v>25</v>
      </c>
      <c r="N57" s="1" t="s">
        <v>26</v>
      </c>
      <c r="O57" s="1">
        <v>10000</v>
      </c>
      <c r="P57" s="3" t="str">
        <f>IF(Table1[[#This Row],[Designation]]="Line Operator","Line Operator", "Other")</f>
        <v>Line Operator</v>
      </c>
    </row>
    <row r="58" spans="1:16" ht="15.75" customHeight="1" x14ac:dyDescent="0.25">
      <c r="A58" s="1" t="s">
        <v>165</v>
      </c>
      <c r="B58" s="1" t="s">
        <v>166</v>
      </c>
      <c r="C58" s="1" t="s">
        <v>36</v>
      </c>
      <c r="D58" s="1" t="s">
        <v>18</v>
      </c>
      <c r="E58" s="1" t="s">
        <v>75</v>
      </c>
      <c r="F58" s="1" t="s">
        <v>31</v>
      </c>
      <c r="G58" s="8">
        <v>45450</v>
      </c>
      <c r="H58" s="1">
        <v>45270</v>
      </c>
      <c r="I58" s="1" t="s">
        <v>81</v>
      </c>
      <c r="J58" s="1" t="s">
        <v>22</v>
      </c>
      <c r="K58" s="1" t="s">
        <v>32</v>
      </c>
      <c r="L58" s="1" t="s">
        <v>24</v>
      </c>
      <c r="M58" s="1" t="s">
        <v>25</v>
      </c>
      <c r="N58" s="1" t="s">
        <v>26</v>
      </c>
      <c r="O58" s="1">
        <v>10000</v>
      </c>
      <c r="P58" s="3" t="str">
        <f>IF(Table1[[#This Row],[Designation]]="Line Operator","Line Operator", "Other")</f>
        <v>Line Operator</v>
      </c>
    </row>
    <row r="59" spans="1:16" ht="15.75" customHeight="1" x14ac:dyDescent="0.25">
      <c r="A59" s="1" t="s">
        <v>167</v>
      </c>
      <c r="B59" s="1" t="s">
        <v>168</v>
      </c>
      <c r="C59" s="1" t="s">
        <v>36</v>
      </c>
      <c r="D59" s="1" t="s">
        <v>169</v>
      </c>
      <c r="E59" s="1" t="s">
        <v>75</v>
      </c>
      <c r="F59" s="1" t="s">
        <v>31</v>
      </c>
      <c r="G59" s="8">
        <v>45450</v>
      </c>
      <c r="H59" s="1">
        <v>45270</v>
      </c>
      <c r="I59" s="1" t="s">
        <v>81</v>
      </c>
      <c r="J59" s="1" t="s">
        <v>22</v>
      </c>
      <c r="K59" s="1" t="s">
        <v>23</v>
      </c>
      <c r="L59" s="1" t="s">
        <v>24</v>
      </c>
      <c r="M59" s="1" t="s">
        <v>25</v>
      </c>
      <c r="N59" s="1" t="s">
        <v>26</v>
      </c>
      <c r="O59" s="1">
        <v>2362</v>
      </c>
      <c r="P59" s="3" t="str">
        <f>IF(Table1[[#This Row],[Designation]]="Line Operator","Line Operator", "Other")</f>
        <v>Other</v>
      </c>
    </row>
    <row r="60" spans="1:16" ht="15.75" customHeight="1" x14ac:dyDescent="0.25">
      <c r="A60" s="1" t="s">
        <v>170</v>
      </c>
      <c r="B60" s="1" t="s">
        <v>171</v>
      </c>
      <c r="C60" s="1" t="s">
        <v>44</v>
      </c>
      <c r="D60" s="1" t="s">
        <v>169</v>
      </c>
      <c r="E60" s="1" t="s">
        <v>75</v>
      </c>
      <c r="F60" s="1" t="s">
        <v>31</v>
      </c>
      <c r="G60" s="8">
        <v>45450</v>
      </c>
      <c r="H60" s="1">
        <v>45270</v>
      </c>
      <c r="I60" s="1" t="s">
        <v>81</v>
      </c>
      <c r="J60" s="1" t="s">
        <v>22</v>
      </c>
      <c r="K60" s="1" t="s">
        <v>23</v>
      </c>
      <c r="L60" s="1" t="s">
        <v>172</v>
      </c>
      <c r="M60" s="1" t="s">
        <v>51</v>
      </c>
      <c r="N60" s="1" t="s">
        <v>26</v>
      </c>
      <c r="O60" s="1">
        <v>10000</v>
      </c>
      <c r="P60" s="3" t="str">
        <f>IF(Table1[[#This Row],[Designation]]="Line Operator","Line Operator", "Other")</f>
        <v>Other</v>
      </c>
    </row>
    <row r="61" spans="1:16" ht="15.75" customHeight="1" x14ac:dyDescent="0.25">
      <c r="A61" s="1" t="s">
        <v>173</v>
      </c>
      <c r="B61" s="1" t="s">
        <v>174</v>
      </c>
      <c r="C61" s="1" t="s">
        <v>36</v>
      </c>
      <c r="D61" s="1" t="s">
        <v>175</v>
      </c>
      <c r="E61" s="1" t="s">
        <v>75</v>
      </c>
      <c r="F61" s="1" t="s">
        <v>31</v>
      </c>
      <c r="G61" s="8">
        <v>45450</v>
      </c>
      <c r="H61" s="1">
        <v>45270</v>
      </c>
      <c r="I61" s="1" t="s">
        <v>81</v>
      </c>
      <c r="J61" s="1" t="s">
        <v>37</v>
      </c>
      <c r="K61" s="1" t="s">
        <v>32</v>
      </c>
      <c r="L61" s="1" t="s">
        <v>24</v>
      </c>
      <c r="M61" s="1" t="s">
        <v>25</v>
      </c>
      <c r="N61" s="1" t="s">
        <v>26</v>
      </c>
      <c r="O61" s="1">
        <v>10000</v>
      </c>
      <c r="P61" s="3" t="str">
        <f>IF(Table1[[#This Row],[Designation]]="Line Operator","Line Operator", "Other")</f>
        <v>Other</v>
      </c>
    </row>
    <row r="62" spans="1:16" ht="15.75" customHeight="1" x14ac:dyDescent="0.25">
      <c r="A62" s="1" t="s">
        <v>176</v>
      </c>
      <c r="B62" s="1" t="s">
        <v>177</v>
      </c>
      <c r="C62" s="1" t="s">
        <v>17</v>
      </c>
      <c r="D62" s="1" t="s">
        <v>175</v>
      </c>
      <c r="E62" s="1" t="s">
        <v>75</v>
      </c>
      <c r="F62" s="1" t="s">
        <v>31</v>
      </c>
      <c r="G62" s="8">
        <v>45450</v>
      </c>
      <c r="H62" s="1">
        <v>45270</v>
      </c>
      <c r="I62" s="1" t="s">
        <v>81</v>
      </c>
      <c r="J62" s="1" t="s">
        <v>37</v>
      </c>
      <c r="K62" s="1" t="s">
        <v>32</v>
      </c>
      <c r="L62" s="1" t="s">
        <v>24</v>
      </c>
      <c r="M62" s="1" t="s">
        <v>25</v>
      </c>
      <c r="N62" s="1" t="s">
        <v>26</v>
      </c>
      <c r="O62" s="1">
        <v>132</v>
      </c>
      <c r="P62" s="3" t="str">
        <f>IF(Table1[[#This Row],[Designation]]="Line Operator","Line Operator", "Other")</f>
        <v>Other</v>
      </c>
    </row>
    <row r="63" spans="1:16" ht="15.75" customHeight="1" x14ac:dyDescent="0.25">
      <c r="A63" s="1" t="s">
        <v>178</v>
      </c>
      <c r="B63" s="1" t="s">
        <v>179</v>
      </c>
      <c r="C63" s="1" t="s">
        <v>17</v>
      </c>
      <c r="D63" s="1" t="s">
        <v>180</v>
      </c>
      <c r="E63" s="1" t="s">
        <v>75</v>
      </c>
      <c r="F63" s="1" t="s">
        <v>31</v>
      </c>
      <c r="G63" s="8">
        <v>45450</v>
      </c>
      <c r="H63" s="1">
        <v>45270</v>
      </c>
      <c r="I63" s="1" t="s">
        <v>21</v>
      </c>
      <c r="J63" s="1" t="s">
        <v>22</v>
      </c>
      <c r="K63" s="1" t="s">
        <v>32</v>
      </c>
      <c r="L63" s="1" t="s">
        <v>24</v>
      </c>
      <c r="M63" s="1" t="s">
        <v>25</v>
      </c>
      <c r="N63" s="1" t="s">
        <v>26</v>
      </c>
      <c r="O63" s="1">
        <v>10000</v>
      </c>
      <c r="P63" s="3" t="str">
        <f>IF(Table1[[#This Row],[Designation]]="Line Operator","Line Operator", "Other")</f>
        <v>Other</v>
      </c>
    </row>
    <row r="64" spans="1:16" ht="15.75" customHeight="1" x14ac:dyDescent="0.25">
      <c r="A64" s="1" t="s">
        <v>181</v>
      </c>
      <c r="B64" s="1" t="s">
        <v>182</v>
      </c>
      <c r="C64" s="1" t="s">
        <v>36</v>
      </c>
      <c r="D64" s="1" t="s">
        <v>169</v>
      </c>
      <c r="E64" s="1" t="s">
        <v>75</v>
      </c>
      <c r="F64" s="1" t="s">
        <v>31</v>
      </c>
      <c r="G64" s="8">
        <v>45450</v>
      </c>
      <c r="H64" s="1">
        <v>45270</v>
      </c>
      <c r="I64" s="1" t="s">
        <v>21</v>
      </c>
      <c r="J64" s="1" t="s">
        <v>37</v>
      </c>
      <c r="K64" s="1" t="s">
        <v>38</v>
      </c>
      <c r="L64" s="1" t="s">
        <v>24</v>
      </c>
      <c r="M64" s="1" t="s">
        <v>25</v>
      </c>
      <c r="N64" s="1" t="s">
        <v>26</v>
      </c>
      <c r="O64" s="1">
        <v>10000</v>
      </c>
      <c r="P64" s="3" t="str">
        <f>IF(Table1[[#This Row],[Designation]]="Line Operator","Line Operator", "Other")</f>
        <v>Other</v>
      </c>
    </row>
    <row r="65" spans="1:16" ht="15.75" customHeight="1" x14ac:dyDescent="0.25">
      <c r="A65" s="1" t="s">
        <v>183</v>
      </c>
      <c r="B65" s="1" t="s">
        <v>184</v>
      </c>
      <c r="C65" s="1" t="s">
        <v>36</v>
      </c>
      <c r="D65" s="1" t="s">
        <v>169</v>
      </c>
      <c r="E65" s="1" t="s">
        <v>75</v>
      </c>
      <c r="F65" s="1" t="s">
        <v>31</v>
      </c>
      <c r="G65" s="8">
        <v>45450</v>
      </c>
      <c r="H65" s="1">
        <v>45270</v>
      </c>
      <c r="I65" s="1" t="s">
        <v>81</v>
      </c>
      <c r="J65" s="1" t="s">
        <v>22</v>
      </c>
      <c r="K65" s="1" t="s">
        <v>38</v>
      </c>
      <c r="L65" s="1" t="s">
        <v>24</v>
      </c>
      <c r="M65" s="1" t="s">
        <v>25</v>
      </c>
      <c r="N65" s="1" t="s">
        <v>26</v>
      </c>
      <c r="O65" s="1">
        <v>232</v>
      </c>
      <c r="P65" s="3" t="str">
        <f>IF(Table1[[#This Row],[Designation]]="Line Operator","Line Operator", "Other")</f>
        <v>Other</v>
      </c>
    </row>
    <row r="66" spans="1:16" ht="15.75" customHeight="1" x14ac:dyDescent="0.25">
      <c r="A66" s="1" t="s">
        <v>185</v>
      </c>
      <c r="B66" s="1" t="s">
        <v>186</v>
      </c>
      <c r="C66" s="1" t="s">
        <v>36</v>
      </c>
      <c r="D66" s="1" t="s">
        <v>169</v>
      </c>
      <c r="E66" s="1" t="s">
        <v>75</v>
      </c>
      <c r="F66" s="1" t="s">
        <v>31</v>
      </c>
      <c r="G66" s="8">
        <v>45450</v>
      </c>
      <c r="H66" s="1">
        <v>45270</v>
      </c>
      <c r="I66" s="1" t="s">
        <v>81</v>
      </c>
      <c r="J66" s="1" t="s">
        <v>22</v>
      </c>
      <c r="K66" s="1" t="s">
        <v>38</v>
      </c>
      <c r="L66" s="1" t="s">
        <v>96</v>
      </c>
      <c r="M66" s="1" t="s">
        <v>47</v>
      </c>
      <c r="N66" s="1" t="s">
        <v>26</v>
      </c>
      <c r="O66" s="1">
        <v>10000</v>
      </c>
      <c r="P66" s="3" t="str">
        <f>IF(Table1[[#This Row],[Designation]]="Line Operator","Line Operator", "Other")</f>
        <v>Other</v>
      </c>
    </row>
    <row r="67" spans="1:16" ht="15.75" customHeight="1" x14ac:dyDescent="0.25">
      <c r="A67" s="1" t="s">
        <v>187</v>
      </c>
      <c r="B67" s="1" t="s">
        <v>188</v>
      </c>
      <c r="C67" s="1" t="s">
        <v>44</v>
      </c>
      <c r="D67" s="1" t="s">
        <v>169</v>
      </c>
      <c r="E67" s="1" t="s">
        <v>75</v>
      </c>
      <c r="F67" s="1" t="s">
        <v>31</v>
      </c>
      <c r="G67" s="8">
        <v>45450</v>
      </c>
      <c r="H67" s="1">
        <v>45270</v>
      </c>
      <c r="I67" s="1" t="s">
        <v>81</v>
      </c>
      <c r="J67" s="1" t="s">
        <v>22</v>
      </c>
      <c r="K67" s="1" t="s">
        <v>115</v>
      </c>
      <c r="L67" s="1" t="s">
        <v>96</v>
      </c>
      <c r="M67" s="1" t="s">
        <v>47</v>
      </c>
      <c r="N67" s="1" t="s">
        <v>26</v>
      </c>
      <c r="O67" s="1">
        <v>10000</v>
      </c>
      <c r="P67" s="3" t="str">
        <f>IF(Table1[[#This Row],[Designation]]="Line Operator","Line Operator", "Other")</f>
        <v>Other</v>
      </c>
    </row>
    <row r="68" spans="1:16" ht="15.75" customHeight="1" x14ac:dyDescent="0.25">
      <c r="A68" s="1" t="s">
        <v>189</v>
      </c>
      <c r="B68" s="1" t="s">
        <v>190</v>
      </c>
      <c r="C68" s="1" t="s">
        <v>36</v>
      </c>
      <c r="D68" s="1" t="s">
        <v>169</v>
      </c>
      <c r="E68" s="1" t="s">
        <v>75</v>
      </c>
      <c r="F68" s="1" t="s">
        <v>31</v>
      </c>
      <c r="G68" s="8">
        <v>45450</v>
      </c>
      <c r="H68" s="1">
        <v>45270</v>
      </c>
      <c r="I68" s="1" t="s">
        <v>21</v>
      </c>
      <c r="J68" s="1" t="s">
        <v>22</v>
      </c>
      <c r="K68" s="1" t="s">
        <v>38</v>
      </c>
      <c r="L68" s="1" t="s">
        <v>191</v>
      </c>
      <c r="M68" s="1" t="s">
        <v>40</v>
      </c>
      <c r="N68" s="1" t="s">
        <v>26</v>
      </c>
      <c r="O68" s="1">
        <v>215</v>
      </c>
      <c r="P68" s="3" t="str">
        <f>IF(Table1[[#This Row],[Designation]]="Line Operator","Line Operator", "Other")</f>
        <v>Other</v>
      </c>
    </row>
    <row r="69" spans="1:16" ht="15.75" customHeight="1" x14ac:dyDescent="0.25">
      <c r="A69" s="1" t="s">
        <v>192</v>
      </c>
      <c r="B69" s="1" t="s">
        <v>193</v>
      </c>
      <c r="C69" s="1" t="s">
        <v>17</v>
      </c>
      <c r="D69" s="1" t="s">
        <v>194</v>
      </c>
      <c r="E69" s="1" t="s">
        <v>75</v>
      </c>
      <c r="F69" s="1" t="s">
        <v>31</v>
      </c>
      <c r="G69" s="8">
        <v>45450</v>
      </c>
      <c r="H69" s="1">
        <v>45270</v>
      </c>
      <c r="I69" s="1" t="s">
        <v>21</v>
      </c>
      <c r="J69" s="1" t="s">
        <v>22</v>
      </c>
      <c r="K69" s="1" t="s">
        <v>23</v>
      </c>
      <c r="L69" s="1" t="s">
        <v>24</v>
      </c>
      <c r="M69" s="1" t="s">
        <v>25</v>
      </c>
      <c r="N69" s="1" t="s">
        <v>26</v>
      </c>
      <c r="O69" s="1">
        <v>20000</v>
      </c>
      <c r="P69" s="3" t="str">
        <f>IF(Table1[[#This Row],[Designation]]="Line Operator","Line Operator", "Other")</f>
        <v>Other</v>
      </c>
    </row>
    <row r="70" spans="1:16" ht="15.75" customHeight="1" x14ac:dyDescent="0.25">
      <c r="A70" s="1" t="s">
        <v>195</v>
      </c>
      <c r="B70" s="1" t="s">
        <v>196</v>
      </c>
      <c r="C70" s="1" t="s">
        <v>17</v>
      </c>
      <c r="D70" s="1" t="s">
        <v>175</v>
      </c>
      <c r="E70" s="1" t="s">
        <v>75</v>
      </c>
      <c r="F70" s="1" t="s">
        <v>31</v>
      </c>
      <c r="G70" s="8">
        <v>45450</v>
      </c>
      <c r="H70" s="1">
        <v>45270</v>
      </c>
      <c r="I70" s="1" t="s">
        <v>21</v>
      </c>
      <c r="J70" s="1" t="s">
        <v>22</v>
      </c>
      <c r="K70" s="1" t="s">
        <v>32</v>
      </c>
      <c r="L70" s="1" t="s">
        <v>24</v>
      </c>
      <c r="M70" s="1" t="s">
        <v>25</v>
      </c>
      <c r="N70" s="1" t="s">
        <v>26</v>
      </c>
      <c r="O70" s="1">
        <v>155</v>
      </c>
      <c r="P70" s="3" t="str">
        <f>IF(Table1[[#This Row],[Designation]]="Line Operator","Line Operator", "Other")</f>
        <v>Other</v>
      </c>
    </row>
    <row r="71" spans="1:16" ht="15.75" customHeight="1" x14ac:dyDescent="0.25">
      <c r="A71" s="1" t="s">
        <v>197</v>
      </c>
      <c r="B71" s="1" t="s">
        <v>198</v>
      </c>
      <c r="C71" s="1" t="s">
        <v>17</v>
      </c>
      <c r="D71" s="1" t="s">
        <v>199</v>
      </c>
      <c r="E71" s="1" t="s">
        <v>75</v>
      </c>
      <c r="F71" s="1" t="s">
        <v>31</v>
      </c>
      <c r="G71" s="8">
        <v>45450</v>
      </c>
      <c r="H71" s="1">
        <v>45270</v>
      </c>
      <c r="I71" s="1" t="s">
        <v>21</v>
      </c>
      <c r="J71" s="1" t="s">
        <v>37</v>
      </c>
      <c r="K71" s="1" t="s">
        <v>38</v>
      </c>
      <c r="L71" s="1" t="s">
        <v>24</v>
      </c>
      <c r="M71" s="1" t="s">
        <v>25</v>
      </c>
      <c r="N71" s="1" t="s">
        <v>26</v>
      </c>
      <c r="O71" s="1">
        <v>20000</v>
      </c>
      <c r="P71" s="3" t="str">
        <f>IF(Table1[[#This Row],[Designation]]="Line Operator","Line Operator", "Other")</f>
        <v>Other</v>
      </c>
    </row>
    <row r="72" spans="1:16" ht="15.75" customHeight="1" x14ac:dyDescent="0.25">
      <c r="A72" s="1" t="s">
        <v>200</v>
      </c>
      <c r="B72" s="1" t="s">
        <v>201</v>
      </c>
      <c r="C72" s="1" t="s">
        <v>17</v>
      </c>
      <c r="D72" s="1" t="s">
        <v>202</v>
      </c>
      <c r="E72" s="1" t="s">
        <v>75</v>
      </c>
      <c r="F72" s="1" t="s">
        <v>31</v>
      </c>
      <c r="G72" s="8">
        <v>45450</v>
      </c>
      <c r="H72" s="1">
        <v>45270</v>
      </c>
      <c r="I72" s="1" t="s">
        <v>21</v>
      </c>
      <c r="J72" s="1" t="s">
        <v>22</v>
      </c>
      <c r="K72" s="1" t="s">
        <v>38</v>
      </c>
      <c r="L72" s="1" t="s">
        <v>24</v>
      </c>
      <c r="M72" s="1" t="s">
        <v>25</v>
      </c>
      <c r="N72" s="1" t="s">
        <v>26</v>
      </c>
      <c r="O72" s="1">
        <v>20000</v>
      </c>
      <c r="P72" s="3" t="str">
        <f>IF(Table1[[#This Row],[Designation]]="Line Operator","Line Operator", "Other")</f>
        <v>Other</v>
      </c>
    </row>
    <row r="73" spans="1:16" ht="15.75" customHeight="1" x14ac:dyDescent="0.25">
      <c r="A73" s="1" t="s">
        <v>203</v>
      </c>
      <c r="B73" s="1" t="s">
        <v>204</v>
      </c>
      <c r="C73" s="1" t="s">
        <v>205</v>
      </c>
      <c r="D73" s="1" t="s">
        <v>18</v>
      </c>
      <c r="E73" s="1" t="s">
        <v>75</v>
      </c>
      <c r="F73" s="1" t="s">
        <v>31</v>
      </c>
      <c r="G73" s="8">
        <v>45450</v>
      </c>
      <c r="H73" s="1">
        <v>45270</v>
      </c>
      <c r="I73" s="1" t="s">
        <v>21</v>
      </c>
      <c r="J73" s="1" t="s">
        <v>22</v>
      </c>
      <c r="K73" s="1" t="s">
        <v>38</v>
      </c>
      <c r="L73" s="1" t="s">
        <v>24</v>
      </c>
      <c r="M73" s="1" t="s">
        <v>25</v>
      </c>
      <c r="N73" s="1" t="s">
        <v>26</v>
      </c>
      <c r="O73" s="1">
        <v>26526</v>
      </c>
      <c r="P73" s="3" t="str">
        <f>IF(Table1[[#This Row],[Designation]]="Line Operator","Line Operator", "Other")</f>
        <v>Line Operator</v>
      </c>
    </row>
    <row r="74" spans="1:16" ht="15.75" customHeight="1" x14ac:dyDescent="0.25">
      <c r="A74" s="1" t="s">
        <v>206</v>
      </c>
      <c r="B74" s="1" t="s">
        <v>207</v>
      </c>
      <c r="C74" s="1" t="s">
        <v>17</v>
      </c>
      <c r="D74" s="1" t="s">
        <v>18</v>
      </c>
      <c r="E74" s="1" t="s">
        <v>75</v>
      </c>
      <c r="F74" s="1" t="s">
        <v>31</v>
      </c>
      <c r="G74" s="8">
        <v>45450</v>
      </c>
      <c r="H74" s="1">
        <v>45270</v>
      </c>
      <c r="I74" s="1" t="s">
        <v>21</v>
      </c>
      <c r="J74" s="1" t="s">
        <v>37</v>
      </c>
      <c r="K74" s="1" t="s">
        <v>58</v>
      </c>
      <c r="L74" s="1" t="s">
        <v>96</v>
      </c>
      <c r="M74" s="1" t="s">
        <v>47</v>
      </c>
      <c r="N74" s="1" t="s">
        <v>26</v>
      </c>
      <c r="O74" s="1">
        <v>10000</v>
      </c>
      <c r="P74" s="3" t="str">
        <f>IF(Table1[[#This Row],[Designation]]="Line Operator","Line Operator", "Other")</f>
        <v>Line Operator</v>
      </c>
    </row>
    <row r="75" spans="1:16" ht="15.75" customHeight="1" x14ac:dyDescent="0.25">
      <c r="A75" s="1" t="s">
        <v>208</v>
      </c>
      <c r="B75" s="1" t="s">
        <v>209</v>
      </c>
      <c r="C75" s="1" t="s">
        <v>205</v>
      </c>
      <c r="D75" s="1" t="s">
        <v>18</v>
      </c>
      <c r="E75" s="1" t="s">
        <v>75</v>
      </c>
      <c r="F75" s="1" t="s">
        <v>31</v>
      </c>
      <c r="G75" s="8">
        <v>45450</v>
      </c>
      <c r="H75" s="1">
        <v>45270</v>
      </c>
      <c r="I75" s="1" t="s">
        <v>21</v>
      </c>
      <c r="J75" s="1" t="s">
        <v>22</v>
      </c>
      <c r="K75" s="1" t="s">
        <v>32</v>
      </c>
      <c r="L75" s="1" t="s">
        <v>24</v>
      </c>
      <c r="M75" s="1" t="s">
        <v>25</v>
      </c>
      <c r="N75" s="1" t="s">
        <v>26</v>
      </c>
      <c r="O75" s="1">
        <v>10000</v>
      </c>
      <c r="P75" s="3" t="str">
        <f>IF(Table1[[#This Row],[Designation]]="Line Operator","Line Operator", "Other")</f>
        <v>Line Operator</v>
      </c>
    </row>
    <row r="76" spans="1:16" ht="15.75" customHeight="1" x14ac:dyDescent="0.25">
      <c r="A76" s="1" t="s">
        <v>210</v>
      </c>
      <c r="B76" s="1" t="s">
        <v>211</v>
      </c>
      <c r="C76" s="1" t="s">
        <v>17</v>
      </c>
      <c r="D76" s="1" t="s">
        <v>18</v>
      </c>
      <c r="E76" s="1" t="s">
        <v>75</v>
      </c>
      <c r="F76" s="1" t="s">
        <v>31</v>
      </c>
      <c r="G76" s="8">
        <v>45450</v>
      </c>
      <c r="H76" s="1">
        <v>45270</v>
      </c>
      <c r="I76" s="1" t="s">
        <v>21</v>
      </c>
      <c r="J76" s="1" t="s">
        <v>22</v>
      </c>
      <c r="K76" s="1" t="s">
        <v>23</v>
      </c>
      <c r="L76" s="1" t="s">
        <v>96</v>
      </c>
      <c r="M76" s="1" t="s">
        <v>47</v>
      </c>
      <c r="N76" s="1" t="s">
        <v>26</v>
      </c>
      <c r="O76" s="1">
        <v>262</v>
      </c>
      <c r="P76" s="3" t="str">
        <f>IF(Table1[[#This Row],[Designation]]="Line Operator","Line Operator", "Other")</f>
        <v>Line Operator</v>
      </c>
    </row>
    <row r="77" spans="1:16" ht="15.75" customHeight="1" x14ac:dyDescent="0.25">
      <c r="A77" s="1" t="s">
        <v>212</v>
      </c>
      <c r="B77" s="1" t="s">
        <v>213</v>
      </c>
      <c r="C77" s="1" t="s">
        <v>36</v>
      </c>
      <c r="D77" s="1" t="s">
        <v>18</v>
      </c>
      <c r="E77" s="1" t="s">
        <v>75</v>
      </c>
      <c r="F77" s="1" t="s">
        <v>31</v>
      </c>
      <c r="G77" s="8">
        <v>45451</v>
      </c>
      <c r="H77" s="1">
        <v>45271</v>
      </c>
      <c r="I77" s="1" t="s">
        <v>81</v>
      </c>
      <c r="J77" s="1" t="s">
        <v>22</v>
      </c>
      <c r="K77" s="1" t="s">
        <v>38</v>
      </c>
      <c r="L77" s="1" t="s">
        <v>124</v>
      </c>
      <c r="M77" s="1" t="s">
        <v>47</v>
      </c>
      <c r="N77" s="1" t="s">
        <v>26</v>
      </c>
      <c r="O77" s="1">
        <v>10000</v>
      </c>
      <c r="P77" s="3" t="str">
        <f>IF(Table1[[#This Row],[Designation]]="Line Operator","Line Operator", "Other")</f>
        <v>Line Operator</v>
      </c>
    </row>
    <row r="78" spans="1:16" ht="15.75" customHeight="1" x14ac:dyDescent="0.25">
      <c r="A78" s="1" t="s">
        <v>214</v>
      </c>
      <c r="B78" s="1" t="s">
        <v>215</v>
      </c>
      <c r="C78" s="1" t="s">
        <v>44</v>
      </c>
      <c r="D78" s="1" t="s">
        <v>18</v>
      </c>
      <c r="E78" s="1" t="s">
        <v>75</v>
      </c>
      <c r="F78" s="1" t="s">
        <v>31</v>
      </c>
      <c r="G78" s="8">
        <v>45451</v>
      </c>
      <c r="H78" s="1">
        <v>45271</v>
      </c>
      <c r="I78" s="1" t="s">
        <v>21</v>
      </c>
      <c r="J78" s="1" t="s">
        <v>22</v>
      </c>
      <c r="K78" s="1" t="s">
        <v>38</v>
      </c>
      <c r="L78" s="1" t="s">
        <v>96</v>
      </c>
      <c r="M78" s="1" t="s">
        <v>47</v>
      </c>
      <c r="N78" s="1" t="s">
        <v>26</v>
      </c>
      <c r="O78" s="1">
        <v>10000</v>
      </c>
      <c r="P78" s="3" t="str">
        <f>IF(Table1[[#This Row],[Designation]]="Line Operator","Line Operator", "Other")</f>
        <v>Line Operator</v>
      </c>
    </row>
    <row r="79" spans="1:16" ht="15.75" customHeight="1" x14ac:dyDescent="0.25">
      <c r="A79" s="1" t="s">
        <v>216</v>
      </c>
      <c r="B79" s="1" t="s">
        <v>217</v>
      </c>
      <c r="C79" s="1" t="s">
        <v>44</v>
      </c>
      <c r="D79" s="1" t="s">
        <v>18</v>
      </c>
      <c r="E79" s="1" t="s">
        <v>75</v>
      </c>
      <c r="F79" s="1" t="s">
        <v>31</v>
      </c>
      <c r="G79" s="8">
        <v>45451</v>
      </c>
      <c r="H79" s="1">
        <v>45271</v>
      </c>
      <c r="I79" s="1" t="s">
        <v>21</v>
      </c>
      <c r="J79" s="1" t="s">
        <v>22</v>
      </c>
      <c r="K79" s="1" t="s">
        <v>58</v>
      </c>
      <c r="L79" s="1" t="s">
        <v>96</v>
      </c>
      <c r="M79" s="1" t="s">
        <v>47</v>
      </c>
      <c r="N79" s="1" t="s">
        <v>26</v>
      </c>
      <c r="O79" s="1">
        <v>1626</v>
      </c>
      <c r="P79" s="3" t="str">
        <f>IF(Table1[[#This Row],[Designation]]="Line Operator","Line Operator", "Other")</f>
        <v>Line Operator</v>
      </c>
    </row>
    <row r="80" spans="1:16" ht="15.75" customHeight="1" x14ac:dyDescent="0.25">
      <c r="A80" s="1" t="s">
        <v>218</v>
      </c>
      <c r="B80" s="1" t="s">
        <v>219</v>
      </c>
      <c r="C80" s="1" t="s">
        <v>36</v>
      </c>
      <c r="D80" s="1" t="s">
        <v>18</v>
      </c>
      <c r="E80" s="1" t="s">
        <v>75</v>
      </c>
      <c r="F80" s="1" t="s">
        <v>31</v>
      </c>
      <c r="G80" s="8">
        <v>45451</v>
      </c>
      <c r="H80" s="1">
        <v>45271</v>
      </c>
      <c r="I80" s="1" t="s">
        <v>21</v>
      </c>
      <c r="J80" s="1" t="s">
        <v>22</v>
      </c>
      <c r="K80" s="1" t="s">
        <v>23</v>
      </c>
      <c r="L80" s="1" t="s">
        <v>220</v>
      </c>
      <c r="M80" s="1" t="s">
        <v>25</v>
      </c>
      <c r="N80" s="1" t="s">
        <v>26</v>
      </c>
      <c r="O80" s="1">
        <v>10000</v>
      </c>
      <c r="P80" s="3" t="str">
        <f>IF(Table1[[#This Row],[Designation]]="Line Operator","Line Operator", "Other")</f>
        <v>Line Operator</v>
      </c>
    </row>
    <row r="81" spans="1:16" ht="15.75" customHeight="1" x14ac:dyDescent="0.25">
      <c r="A81" s="1" t="s">
        <v>221</v>
      </c>
      <c r="B81" s="1" t="s">
        <v>222</v>
      </c>
      <c r="C81" s="1" t="s">
        <v>36</v>
      </c>
      <c r="D81" s="1" t="s">
        <v>18</v>
      </c>
      <c r="E81" s="1" t="s">
        <v>75</v>
      </c>
      <c r="F81" s="1" t="s">
        <v>31</v>
      </c>
      <c r="G81" s="8">
        <v>45451</v>
      </c>
      <c r="H81" s="1">
        <v>45271</v>
      </c>
      <c r="I81" s="1" t="s">
        <v>21</v>
      </c>
      <c r="J81" s="1" t="s">
        <v>22</v>
      </c>
      <c r="K81" s="1" t="s">
        <v>38</v>
      </c>
      <c r="L81" s="1" t="s">
        <v>220</v>
      </c>
      <c r="M81" s="1" t="s">
        <v>25</v>
      </c>
      <c r="N81" s="1" t="s">
        <v>26</v>
      </c>
      <c r="O81" s="1">
        <v>10000</v>
      </c>
      <c r="P81" s="3" t="str">
        <f>IF(Table1[[#This Row],[Designation]]="Line Operator","Line Operator", "Other")</f>
        <v>Line Operator</v>
      </c>
    </row>
    <row r="82" spans="1:16" ht="15.75" customHeight="1" x14ac:dyDescent="0.25">
      <c r="A82" s="1" t="s">
        <v>223</v>
      </c>
      <c r="B82" s="1" t="s">
        <v>224</v>
      </c>
      <c r="C82" s="1" t="s">
        <v>44</v>
      </c>
      <c r="D82" s="1" t="s">
        <v>18</v>
      </c>
      <c r="E82" s="1" t="s">
        <v>75</v>
      </c>
      <c r="F82" s="1" t="s">
        <v>31</v>
      </c>
      <c r="G82" s="8">
        <v>45451</v>
      </c>
      <c r="H82" s="1">
        <v>45271</v>
      </c>
      <c r="I82" s="1" t="s">
        <v>21</v>
      </c>
      <c r="J82" s="1" t="s">
        <v>22</v>
      </c>
      <c r="K82" s="1" t="s">
        <v>115</v>
      </c>
      <c r="L82" s="1" t="s">
        <v>225</v>
      </c>
      <c r="M82" s="1" t="s">
        <v>47</v>
      </c>
      <c r="N82" s="1" t="s">
        <v>26</v>
      </c>
      <c r="O82" s="1">
        <v>266</v>
      </c>
      <c r="P82" s="3" t="str">
        <f>IF(Table1[[#This Row],[Designation]]="Line Operator","Line Operator", "Other")</f>
        <v>Line Operator</v>
      </c>
    </row>
    <row r="83" spans="1:16" ht="15.75" customHeight="1" x14ac:dyDescent="0.25">
      <c r="A83" s="1" t="s">
        <v>226</v>
      </c>
      <c r="B83" s="1" t="s">
        <v>227</v>
      </c>
      <c r="C83" s="1" t="s">
        <v>44</v>
      </c>
      <c r="D83" s="1" t="s">
        <v>18</v>
      </c>
      <c r="E83" s="1" t="s">
        <v>75</v>
      </c>
      <c r="F83" s="1" t="s">
        <v>31</v>
      </c>
      <c r="G83" s="8">
        <v>45451</v>
      </c>
      <c r="H83" s="1">
        <v>45271</v>
      </c>
      <c r="I83" s="1" t="s">
        <v>21</v>
      </c>
      <c r="J83" s="1" t="s">
        <v>22</v>
      </c>
      <c r="K83" s="1" t="s">
        <v>32</v>
      </c>
      <c r="L83" s="1" t="s">
        <v>220</v>
      </c>
      <c r="M83" s="1" t="s">
        <v>25</v>
      </c>
      <c r="N83" s="1" t="s">
        <v>26</v>
      </c>
      <c r="O83" s="1">
        <v>10000</v>
      </c>
      <c r="P83" s="3" t="str">
        <f>IF(Table1[[#This Row],[Designation]]="Line Operator","Line Operator", "Other")</f>
        <v>Line Operator</v>
      </c>
    </row>
    <row r="84" spans="1:16" ht="15.75" customHeight="1" x14ac:dyDescent="0.25">
      <c r="A84" s="1" t="s">
        <v>228</v>
      </c>
      <c r="B84" s="1" t="s">
        <v>229</v>
      </c>
      <c r="C84" s="1" t="s">
        <v>44</v>
      </c>
      <c r="D84" s="1" t="s">
        <v>45</v>
      </c>
      <c r="E84" s="1" t="s">
        <v>75</v>
      </c>
      <c r="F84" s="1" t="s">
        <v>31</v>
      </c>
      <c r="G84" s="8">
        <v>45451</v>
      </c>
      <c r="H84" s="1">
        <v>45271</v>
      </c>
      <c r="I84" s="1" t="s">
        <v>21</v>
      </c>
      <c r="J84" s="1" t="s">
        <v>37</v>
      </c>
      <c r="K84" s="1" t="s">
        <v>115</v>
      </c>
      <c r="L84" s="1" t="s">
        <v>24</v>
      </c>
      <c r="M84" s="1" t="s">
        <v>25</v>
      </c>
      <c r="N84" s="1" t="s">
        <v>26</v>
      </c>
      <c r="O84" s="1">
        <v>10000</v>
      </c>
      <c r="P84" s="3" t="str">
        <f>IF(Table1[[#This Row],[Designation]]="Line Operator","Line Operator", "Other")</f>
        <v>Other</v>
      </c>
    </row>
    <row r="85" spans="1:16" ht="15.75" customHeight="1" x14ac:dyDescent="0.25">
      <c r="A85" s="1" t="s">
        <v>230</v>
      </c>
      <c r="B85" s="1" t="s">
        <v>231</v>
      </c>
      <c r="C85" s="1" t="s">
        <v>44</v>
      </c>
      <c r="D85" s="1" t="s">
        <v>18</v>
      </c>
      <c r="E85" s="1" t="s">
        <v>75</v>
      </c>
      <c r="F85" s="1" t="s">
        <v>31</v>
      </c>
      <c r="G85" s="8">
        <v>45451</v>
      </c>
      <c r="H85" s="1">
        <v>45271</v>
      </c>
      <c r="I85" s="1" t="s">
        <v>21</v>
      </c>
      <c r="J85" s="1" t="s">
        <v>22</v>
      </c>
      <c r="K85" s="1" t="s">
        <v>115</v>
      </c>
      <c r="L85" s="1" t="s">
        <v>24</v>
      </c>
      <c r="M85" s="1" t="s">
        <v>25</v>
      </c>
      <c r="N85" s="1" t="s">
        <v>26</v>
      </c>
      <c r="O85" s="1">
        <v>16</v>
      </c>
      <c r="P85" s="3" t="str">
        <f>IF(Table1[[#This Row],[Designation]]="Line Operator","Line Operator", "Other")</f>
        <v>Line Operator</v>
      </c>
    </row>
    <row r="86" spans="1:16" ht="15.75" customHeight="1" x14ac:dyDescent="0.25">
      <c r="A86" s="1" t="s">
        <v>232</v>
      </c>
      <c r="B86" s="1" t="s">
        <v>233</v>
      </c>
      <c r="C86" s="1" t="s">
        <v>44</v>
      </c>
      <c r="D86" s="1" t="s">
        <v>18</v>
      </c>
      <c r="E86" s="1" t="s">
        <v>75</v>
      </c>
      <c r="F86" s="1" t="s">
        <v>31</v>
      </c>
      <c r="G86" s="8">
        <v>45451</v>
      </c>
      <c r="H86" s="1">
        <v>45271</v>
      </c>
      <c r="I86" s="1" t="s">
        <v>21</v>
      </c>
      <c r="J86" s="1" t="s">
        <v>22</v>
      </c>
      <c r="K86" s="1" t="s">
        <v>32</v>
      </c>
      <c r="L86" s="1" t="s">
        <v>24</v>
      </c>
      <c r="M86" s="1" t="s">
        <v>25</v>
      </c>
      <c r="N86" s="1" t="s">
        <v>26</v>
      </c>
      <c r="O86" s="1">
        <v>1000</v>
      </c>
      <c r="P86" s="3" t="str">
        <f>IF(Table1[[#This Row],[Designation]]="Line Operator","Line Operator", "Other")</f>
        <v>Line Operator</v>
      </c>
    </row>
    <row r="87" spans="1:16" ht="15.75" customHeight="1" x14ac:dyDescent="0.25">
      <c r="A87" s="1" t="s">
        <v>234</v>
      </c>
      <c r="B87" s="1" t="s">
        <v>235</v>
      </c>
      <c r="C87" s="1" t="s">
        <v>36</v>
      </c>
      <c r="D87" s="1" t="s">
        <v>18</v>
      </c>
      <c r="E87" s="1" t="s">
        <v>75</v>
      </c>
      <c r="F87" s="1" t="s">
        <v>31</v>
      </c>
      <c r="G87" s="8">
        <v>45451</v>
      </c>
      <c r="H87" s="1">
        <v>45271</v>
      </c>
      <c r="I87" s="1" t="s">
        <v>21</v>
      </c>
      <c r="J87" s="1" t="s">
        <v>22</v>
      </c>
      <c r="K87" s="1" t="s">
        <v>32</v>
      </c>
      <c r="L87" s="1" t="s">
        <v>24</v>
      </c>
      <c r="M87" s="1" t="s">
        <v>25</v>
      </c>
      <c r="N87" s="1" t="s">
        <v>26</v>
      </c>
      <c r="O87" s="1">
        <v>1000</v>
      </c>
      <c r="P87" s="3" t="str">
        <f>IF(Table1[[#This Row],[Designation]]="Line Operator","Line Operator", "Other")</f>
        <v>Line Operator</v>
      </c>
    </row>
    <row r="88" spans="1:16" ht="15.75" customHeight="1" x14ac:dyDescent="0.25">
      <c r="A88" s="1" t="s">
        <v>236</v>
      </c>
      <c r="B88" s="1" t="s">
        <v>237</v>
      </c>
      <c r="C88" s="1" t="s">
        <v>44</v>
      </c>
      <c r="D88" s="1" t="s">
        <v>18</v>
      </c>
      <c r="E88" s="1" t="s">
        <v>75</v>
      </c>
      <c r="F88" s="1" t="s">
        <v>31</v>
      </c>
      <c r="G88" s="8">
        <v>45451</v>
      </c>
      <c r="H88" s="1">
        <v>45271</v>
      </c>
      <c r="I88" s="1" t="s">
        <v>21</v>
      </c>
      <c r="J88" s="1" t="s">
        <v>22</v>
      </c>
      <c r="K88" s="1" t="s">
        <v>23</v>
      </c>
      <c r="L88" s="1" t="s">
        <v>24</v>
      </c>
      <c r="M88" s="1" t="s">
        <v>25</v>
      </c>
      <c r="N88" s="1" t="s">
        <v>26</v>
      </c>
      <c r="O88" s="1">
        <v>616</v>
      </c>
      <c r="P88" s="3" t="str">
        <f>IF(Table1[[#This Row],[Designation]]="Line Operator","Line Operator", "Other")</f>
        <v>Line Operator</v>
      </c>
    </row>
    <row r="89" spans="1:16" ht="15.75" customHeight="1" x14ac:dyDescent="0.25">
      <c r="A89" s="1" t="s">
        <v>238</v>
      </c>
      <c r="B89" s="1" t="s">
        <v>239</v>
      </c>
      <c r="C89" s="1" t="s">
        <v>36</v>
      </c>
      <c r="D89" s="1" t="s">
        <v>18</v>
      </c>
      <c r="E89" s="1" t="s">
        <v>75</v>
      </c>
      <c r="F89" s="1" t="s">
        <v>31</v>
      </c>
      <c r="G89" s="8">
        <v>45451</v>
      </c>
      <c r="H89" s="1">
        <v>45271</v>
      </c>
      <c r="I89" s="1" t="s">
        <v>21</v>
      </c>
      <c r="J89" s="1" t="s">
        <v>22</v>
      </c>
      <c r="K89" s="1" t="s">
        <v>58</v>
      </c>
      <c r="L89" s="1" t="s">
        <v>24</v>
      </c>
      <c r="M89" s="1" t="s">
        <v>25</v>
      </c>
      <c r="N89" s="1" t="s">
        <v>26</v>
      </c>
      <c r="O89" s="1">
        <v>1000</v>
      </c>
      <c r="P89" s="3" t="str">
        <f>IF(Table1[[#This Row],[Designation]]="Line Operator","Line Operator", "Other")</f>
        <v>Line Operator</v>
      </c>
    </row>
    <row r="90" spans="1:16" ht="15.75" customHeight="1" x14ac:dyDescent="0.25">
      <c r="A90" s="1" t="s">
        <v>240</v>
      </c>
      <c r="B90" s="1" t="s">
        <v>241</v>
      </c>
      <c r="C90" s="1" t="s">
        <v>36</v>
      </c>
      <c r="D90" s="1" t="s">
        <v>18</v>
      </c>
      <c r="E90" s="1" t="s">
        <v>75</v>
      </c>
      <c r="F90" s="1" t="s">
        <v>31</v>
      </c>
      <c r="G90" s="8">
        <v>45451</v>
      </c>
      <c r="H90" s="1">
        <v>45271</v>
      </c>
      <c r="I90" s="1" t="s">
        <v>21</v>
      </c>
      <c r="J90" s="1" t="s">
        <v>22</v>
      </c>
      <c r="K90" s="1" t="s">
        <v>58</v>
      </c>
      <c r="L90" s="1" t="s">
        <v>96</v>
      </c>
      <c r="M90" s="1" t="s">
        <v>47</v>
      </c>
      <c r="N90" s="1" t="s">
        <v>26</v>
      </c>
      <c r="O90" s="1">
        <v>1000</v>
      </c>
      <c r="P90" s="3" t="str">
        <f>IF(Table1[[#This Row],[Designation]]="Line Operator","Line Operator", "Other")</f>
        <v>Line Operator</v>
      </c>
    </row>
    <row r="91" spans="1:16" ht="15.75" customHeight="1" x14ac:dyDescent="0.25">
      <c r="A91" s="1" t="s">
        <v>242</v>
      </c>
      <c r="B91" s="1" t="s">
        <v>243</v>
      </c>
      <c r="C91" s="1" t="s">
        <v>36</v>
      </c>
      <c r="D91" s="1" t="s">
        <v>18</v>
      </c>
      <c r="E91" s="1" t="s">
        <v>75</v>
      </c>
      <c r="F91" s="1" t="s">
        <v>31</v>
      </c>
      <c r="G91" s="8">
        <v>45451</v>
      </c>
      <c r="H91" s="1">
        <v>45271</v>
      </c>
      <c r="I91" s="1" t="s">
        <v>21</v>
      </c>
      <c r="J91" s="1" t="s">
        <v>22</v>
      </c>
      <c r="K91" s="1" t="s">
        <v>115</v>
      </c>
      <c r="L91" s="1" t="s">
        <v>116</v>
      </c>
      <c r="M91" s="1" t="s">
        <v>47</v>
      </c>
      <c r="N91" s="1" t="s">
        <v>26</v>
      </c>
      <c r="O91" s="1">
        <v>1662</v>
      </c>
      <c r="P91" s="3" t="str">
        <f>IF(Table1[[#This Row],[Designation]]="Line Operator","Line Operator", "Other")</f>
        <v>Line Operator</v>
      </c>
    </row>
    <row r="92" spans="1:16" ht="15.75" customHeight="1" x14ac:dyDescent="0.25">
      <c r="A92" s="1" t="s">
        <v>244</v>
      </c>
      <c r="B92" s="1" t="s">
        <v>245</v>
      </c>
      <c r="C92" s="1" t="s">
        <v>44</v>
      </c>
      <c r="D92" s="1" t="s">
        <v>18</v>
      </c>
      <c r="E92" s="1" t="s">
        <v>75</v>
      </c>
      <c r="F92" s="1" t="s">
        <v>31</v>
      </c>
      <c r="G92" s="8">
        <v>45451</v>
      </c>
      <c r="H92" s="1">
        <v>45271</v>
      </c>
      <c r="I92" s="1" t="s">
        <v>21</v>
      </c>
      <c r="J92" s="1" t="s">
        <v>22</v>
      </c>
      <c r="K92" s="1" t="s">
        <v>32</v>
      </c>
      <c r="L92" s="1" t="s">
        <v>24</v>
      </c>
      <c r="M92" s="1" t="s">
        <v>25</v>
      </c>
      <c r="N92" s="1" t="s">
        <v>26</v>
      </c>
      <c r="O92" s="1">
        <v>10000</v>
      </c>
      <c r="P92" s="3" t="str">
        <f>IF(Table1[[#This Row],[Designation]]="Line Operator","Line Operator", "Other")</f>
        <v>Line Operator</v>
      </c>
    </row>
    <row r="93" spans="1:16" ht="15.75" customHeight="1" x14ac:dyDescent="0.25">
      <c r="A93" s="1" t="s">
        <v>246</v>
      </c>
      <c r="B93" s="1" t="s">
        <v>247</v>
      </c>
      <c r="C93" s="1" t="s">
        <v>36</v>
      </c>
      <c r="D93" s="1" t="s">
        <v>18</v>
      </c>
      <c r="E93" s="1" t="s">
        <v>75</v>
      </c>
      <c r="F93" s="1" t="s">
        <v>31</v>
      </c>
      <c r="G93" s="8">
        <v>45451</v>
      </c>
      <c r="H93" s="1">
        <v>45271</v>
      </c>
      <c r="I93" s="1" t="s">
        <v>21</v>
      </c>
      <c r="J93" s="1" t="s">
        <v>22</v>
      </c>
      <c r="K93" s="1" t="s">
        <v>38</v>
      </c>
      <c r="L93" s="1" t="s">
        <v>24</v>
      </c>
      <c r="M93" s="1" t="s">
        <v>25</v>
      </c>
      <c r="N93" s="1" t="s">
        <v>26</v>
      </c>
      <c r="O93" s="1">
        <v>16326</v>
      </c>
      <c r="P93" s="3" t="str">
        <f>IF(Table1[[#This Row],[Designation]]="Line Operator","Line Operator", "Other")</f>
        <v>Line Operator</v>
      </c>
    </row>
    <row r="94" spans="1:16" ht="15.75" customHeight="1" x14ac:dyDescent="0.25">
      <c r="A94" s="1" t="s">
        <v>248</v>
      </c>
      <c r="B94" s="1" t="s">
        <v>154</v>
      </c>
      <c r="C94" s="1" t="s">
        <v>36</v>
      </c>
      <c r="D94" s="1" t="s">
        <v>18</v>
      </c>
      <c r="E94" s="1" t="s">
        <v>75</v>
      </c>
      <c r="F94" s="1" t="s">
        <v>31</v>
      </c>
      <c r="G94" s="8">
        <v>45451</v>
      </c>
      <c r="H94" s="1">
        <v>45271</v>
      </c>
      <c r="I94" s="1" t="s">
        <v>21</v>
      </c>
      <c r="J94" s="1" t="s">
        <v>37</v>
      </c>
      <c r="K94" s="1" t="s">
        <v>115</v>
      </c>
      <c r="L94" s="1" t="s">
        <v>24</v>
      </c>
      <c r="M94" s="1" t="s">
        <v>25</v>
      </c>
      <c r="N94" s="1" t="s">
        <v>26</v>
      </c>
      <c r="O94" s="1">
        <v>10000</v>
      </c>
      <c r="P94" s="3" t="str">
        <f>IF(Table1[[#This Row],[Designation]]="Line Operator","Line Operator", "Other")</f>
        <v>Line Operator</v>
      </c>
    </row>
    <row r="95" spans="1:16" ht="15.75" customHeight="1" x14ac:dyDescent="0.25">
      <c r="A95" s="1" t="s">
        <v>249</v>
      </c>
      <c r="B95" s="1" t="s">
        <v>250</v>
      </c>
      <c r="C95" s="1" t="s">
        <v>44</v>
      </c>
      <c r="D95" s="1" t="s">
        <v>18</v>
      </c>
      <c r="E95" s="1" t="s">
        <v>75</v>
      </c>
      <c r="F95" s="1" t="s">
        <v>31</v>
      </c>
      <c r="G95" s="8">
        <v>45451</v>
      </c>
      <c r="H95" s="1">
        <v>45271</v>
      </c>
      <c r="I95" s="1" t="s">
        <v>21</v>
      </c>
      <c r="J95" s="1" t="s">
        <v>22</v>
      </c>
      <c r="K95" s="1" t="s">
        <v>38</v>
      </c>
      <c r="L95" s="1" t="s">
        <v>24</v>
      </c>
      <c r="M95" s="1" t="s">
        <v>25</v>
      </c>
      <c r="N95" s="1" t="s">
        <v>26</v>
      </c>
      <c r="O95" s="1">
        <v>26265</v>
      </c>
      <c r="P95" s="3" t="str">
        <f>IF(Table1[[#This Row],[Designation]]="Line Operator","Line Operator", "Other")</f>
        <v>Line Operator</v>
      </c>
    </row>
    <row r="96" spans="1:16" ht="15.75" customHeight="1" x14ac:dyDescent="0.25">
      <c r="A96" s="1" t="s">
        <v>251</v>
      </c>
      <c r="B96" s="1" t="s">
        <v>252</v>
      </c>
      <c r="C96" s="1" t="s">
        <v>17</v>
      </c>
      <c r="D96" s="1" t="s">
        <v>18</v>
      </c>
      <c r="E96" s="1" t="s">
        <v>75</v>
      </c>
      <c r="F96" s="1" t="s">
        <v>31</v>
      </c>
      <c r="G96" s="8">
        <v>45451</v>
      </c>
      <c r="H96" s="1">
        <v>45271</v>
      </c>
      <c r="I96" s="1" t="s">
        <v>21</v>
      </c>
      <c r="J96" s="1" t="s">
        <v>22</v>
      </c>
      <c r="K96" s="1" t="s">
        <v>38</v>
      </c>
      <c r="L96" s="1" t="s">
        <v>24</v>
      </c>
      <c r="M96" s="1" t="s">
        <v>25</v>
      </c>
      <c r="N96" s="1" t="s">
        <v>26</v>
      </c>
      <c r="O96" s="1">
        <v>2162</v>
      </c>
      <c r="P96" s="3" t="str">
        <f>IF(Table1[[#This Row],[Designation]]="Line Operator","Line Operator", "Other")</f>
        <v>Line Operator</v>
      </c>
    </row>
    <row r="97" spans="1:16" ht="15.75" customHeight="1" x14ac:dyDescent="0.25">
      <c r="A97" s="1" t="s">
        <v>253</v>
      </c>
      <c r="B97" s="1" t="s">
        <v>254</v>
      </c>
      <c r="C97" s="1" t="s">
        <v>17</v>
      </c>
      <c r="D97" s="1" t="s">
        <v>18</v>
      </c>
      <c r="E97" s="1" t="s">
        <v>75</v>
      </c>
      <c r="F97" s="1" t="s">
        <v>31</v>
      </c>
      <c r="G97" s="8">
        <v>45451</v>
      </c>
      <c r="H97" s="1">
        <v>45271</v>
      </c>
      <c r="I97" s="1" t="s">
        <v>81</v>
      </c>
      <c r="J97" s="1" t="s">
        <v>22</v>
      </c>
      <c r="K97" s="1" t="s">
        <v>38</v>
      </c>
      <c r="L97" s="1" t="s">
        <v>96</v>
      </c>
      <c r="M97" s="1" t="s">
        <v>47</v>
      </c>
      <c r="N97" s="1" t="s">
        <v>26</v>
      </c>
      <c r="O97" s="1">
        <v>10000</v>
      </c>
      <c r="P97" s="3" t="str">
        <f>IF(Table1[[#This Row],[Designation]]="Line Operator","Line Operator", "Other")</f>
        <v>Line Operator</v>
      </c>
    </row>
    <row r="98" spans="1:16" ht="15.75" customHeight="1" x14ac:dyDescent="0.25">
      <c r="A98" s="1" t="s">
        <v>255</v>
      </c>
      <c r="B98" s="1" t="s">
        <v>256</v>
      </c>
      <c r="C98" s="1" t="s">
        <v>205</v>
      </c>
      <c r="D98" s="1" t="s">
        <v>18</v>
      </c>
      <c r="E98" s="1" t="s">
        <v>75</v>
      </c>
      <c r="F98" s="1" t="s">
        <v>31</v>
      </c>
      <c r="G98" s="8">
        <v>45451</v>
      </c>
      <c r="H98" s="1">
        <v>45271</v>
      </c>
      <c r="I98" s="1" t="s">
        <v>81</v>
      </c>
      <c r="J98" s="1" t="s">
        <v>22</v>
      </c>
      <c r="K98" s="1" t="s">
        <v>32</v>
      </c>
      <c r="L98" s="1" t="s">
        <v>24</v>
      </c>
      <c r="M98" s="1" t="s">
        <v>25</v>
      </c>
      <c r="N98" s="1" t="s">
        <v>26</v>
      </c>
      <c r="O98" s="1">
        <v>16521</v>
      </c>
      <c r="P98" s="3" t="str">
        <f>IF(Table1[[#This Row],[Designation]]="Line Operator","Line Operator", "Other")</f>
        <v>Line Operator</v>
      </c>
    </row>
    <row r="99" spans="1:16" ht="15.75" customHeight="1" x14ac:dyDescent="0.25">
      <c r="A99" s="1" t="s">
        <v>257</v>
      </c>
      <c r="B99" s="1" t="s">
        <v>258</v>
      </c>
      <c r="C99" s="1" t="s">
        <v>205</v>
      </c>
      <c r="D99" s="1" t="s">
        <v>18</v>
      </c>
      <c r="E99" s="1" t="s">
        <v>75</v>
      </c>
      <c r="F99" s="1" t="s">
        <v>31</v>
      </c>
      <c r="G99" s="8">
        <v>45451</v>
      </c>
      <c r="H99" s="1">
        <v>45271</v>
      </c>
      <c r="I99" s="1" t="s">
        <v>81</v>
      </c>
      <c r="J99" s="1" t="s">
        <v>22</v>
      </c>
      <c r="K99" s="1" t="s">
        <v>23</v>
      </c>
      <c r="L99" s="1" t="s">
        <v>259</v>
      </c>
      <c r="M99" s="1" t="s">
        <v>47</v>
      </c>
      <c r="N99" s="1" t="s">
        <v>26</v>
      </c>
      <c r="O99" s="1">
        <v>21625</v>
      </c>
      <c r="P99" s="3" t="str">
        <f>IF(Table1[[#This Row],[Designation]]="Line Operator","Line Operator", "Other")</f>
        <v>Line Operator</v>
      </c>
    </row>
    <row r="100" spans="1:16" ht="15.75" customHeight="1" x14ac:dyDescent="0.25">
      <c r="A100" s="1" t="s">
        <v>260</v>
      </c>
      <c r="B100" s="1" t="s">
        <v>160</v>
      </c>
      <c r="C100" s="1" t="s">
        <v>17</v>
      </c>
      <c r="D100" s="1" t="s">
        <v>18</v>
      </c>
      <c r="E100" s="1" t="s">
        <v>75</v>
      </c>
      <c r="F100" s="1" t="s">
        <v>31</v>
      </c>
      <c r="G100" s="8">
        <v>45451</v>
      </c>
      <c r="H100" s="1">
        <v>45271</v>
      </c>
      <c r="I100" s="1" t="s">
        <v>81</v>
      </c>
      <c r="J100" s="1" t="s">
        <v>22</v>
      </c>
      <c r="K100" s="1" t="s">
        <v>23</v>
      </c>
      <c r="L100" s="1" t="s">
        <v>69</v>
      </c>
      <c r="M100" s="1" t="s">
        <v>40</v>
      </c>
      <c r="N100" s="1" t="s">
        <v>26</v>
      </c>
      <c r="O100" s="1">
        <v>6526</v>
      </c>
      <c r="P100" s="3" t="str">
        <f>IF(Table1[[#This Row],[Designation]]="Line Operator","Line Operator", "Other")</f>
        <v>Line Operator</v>
      </c>
    </row>
    <row r="101" spans="1:16" ht="15.75" customHeight="1" x14ac:dyDescent="0.25">
      <c r="A101" s="1" t="s">
        <v>261</v>
      </c>
      <c r="B101" s="1" t="s">
        <v>162</v>
      </c>
      <c r="C101" s="1" t="s">
        <v>17</v>
      </c>
      <c r="D101" s="1" t="s">
        <v>18</v>
      </c>
      <c r="E101" s="1" t="s">
        <v>75</v>
      </c>
      <c r="F101" s="1" t="s">
        <v>31</v>
      </c>
      <c r="G101" s="8">
        <v>45451</v>
      </c>
      <c r="H101" s="1">
        <v>45271</v>
      </c>
      <c r="I101" s="1" t="s">
        <v>81</v>
      </c>
      <c r="J101" s="1" t="s">
        <v>22</v>
      </c>
      <c r="K101" s="1" t="s">
        <v>32</v>
      </c>
      <c r="L101" s="1" t="s">
        <v>262</v>
      </c>
      <c r="M101" s="1" t="s">
        <v>47</v>
      </c>
      <c r="N101" s="1" t="s">
        <v>26</v>
      </c>
      <c r="O101" s="1">
        <v>655</v>
      </c>
      <c r="P101" s="3" t="str">
        <f>IF(Table1[[#This Row],[Designation]]="Line Operator","Line Operator", "Other")</f>
        <v>Line Operator</v>
      </c>
    </row>
    <row r="102" spans="1:16" ht="15.75" customHeight="1" x14ac:dyDescent="0.25">
      <c r="A102" s="1" t="s">
        <v>263</v>
      </c>
      <c r="B102" s="1" t="s">
        <v>164</v>
      </c>
      <c r="C102" s="1" t="s">
        <v>17</v>
      </c>
      <c r="D102" s="1" t="s">
        <v>18</v>
      </c>
      <c r="E102" s="1" t="s">
        <v>75</v>
      </c>
      <c r="F102" s="1" t="s">
        <v>31</v>
      </c>
      <c r="G102" s="8">
        <v>45451</v>
      </c>
      <c r="H102" s="1">
        <v>45271</v>
      </c>
      <c r="I102" s="1" t="s">
        <v>81</v>
      </c>
      <c r="J102" s="1" t="s">
        <v>37</v>
      </c>
      <c r="K102" s="1" t="s">
        <v>23</v>
      </c>
      <c r="L102" s="1" t="s">
        <v>24</v>
      </c>
      <c r="M102" s="1" t="s">
        <v>25</v>
      </c>
      <c r="N102" s="1" t="s">
        <v>26</v>
      </c>
      <c r="O102" s="1">
        <v>62146</v>
      </c>
      <c r="P102" s="3" t="str">
        <f>IF(Table1[[#This Row],[Designation]]="Line Operator","Line Operator", "Other")</f>
        <v>Line Operator</v>
      </c>
    </row>
    <row r="103" spans="1:16" ht="15.75" customHeight="1" x14ac:dyDescent="0.25">
      <c r="A103" s="1" t="s">
        <v>264</v>
      </c>
      <c r="B103" s="1" t="s">
        <v>166</v>
      </c>
      <c r="C103" s="1" t="s">
        <v>17</v>
      </c>
      <c r="D103" s="1" t="s">
        <v>18</v>
      </c>
      <c r="E103" s="1" t="s">
        <v>75</v>
      </c>
      <c r="F103" s="1" t="s">
        <v>31</v>
      </c>
      <c r="G103" s="8">
        <v>45451</v>
      </c>
      <c r="H103" s="1">
        <v>45271</v>
      </c>
      <c r="I103" s="1" t="s">
        <v>81</v>
      </c>
      <c r="J103" s="1" t="s">
        <v>22</v>
      </c>
      <c r="K103" s="1" t="s">
        <v>58</v>
      </c>
      <c r="L103" s="1" t="s">
        <v>96</v>
      </c>
      <c r="M103" s="1" t="s">
        <v>47</v>
      </c>
      <c r="N103" s="1" t="s">
        <v>26</v>
      </c>
      <c r="O103" s="1">
        <v>2656</v>
      </c>
      <c r="P103" s="3" t="str">
        <f>IF(Table1[[#This Row],[Designation]]="Line Operator","Line Operator", "Other")</f>
        <v>Line Operator</v>
      </c>
    </row>
    <row r="104" spans="1:16" ht="15.75" customHeight="1" x14ac:dyDescent="0.25">
      <c r="A104" s="1" t="s">
        <v>265</v>
      </c>
      <c r="B104" s="1" t="s">
        <v>168</v>
      </c>
      <c r="C104" s="1" t="s">
        <v>44</v>
      </c>
      <c r="D104" s="1" t="s">
        <v>18</v>
      </c>
      <c r="E104" s="1" t="s">
        <v>75</v>
      </c>
      <c r="F104" s="1" t="s">
        <v>31</v>
      </c>
      <c r="G104" s="8">
        <v>45451</v>
      </c>
      <c r="H104" s="1">
        <v>45271</v>
      </c>
      <c r="I104" s="1" t="s">
        <v>81</v>
      </c>
      <c r="J104" s="1" t="s">
        <v>22</v>
      </c>
      <c r="K104" s="1" t="s">
        <v>23</v>
      </c>
      <c r="L104" s="1" t="s">
        <v>24</v>
      </c>
      <c r="M104" s="1" t="s">
        <v>25</v>
      </c>
      <c r="N104" s="1" t="s">
        <v>26</v>
      </c>
      <c r="O104" s="1">
        <v>216</v>
      </c>
      <c r="P104" s="3" t="str">
        <f>IF(Table1[[#This Row],[Designation]]="Line Operator","Line Operator", "Other")</f>
        <v>Line Operator</v>
      </c>
    </row>
    <row r="105" spans="1:16" ht="15.75" customHeight="1" x14ac:dyDescent="0.25">
      <c r="A105" s="1" t="s">
        <v>266</v>
      </c>
      <c r="B105" s="1" t="s">
        <v>171</v>
      </c>
      <c r="C105" s="1" t="s">
        <v>36</v>
      </c>
      <c r="D105" s="1" t="s">
        <v>18</v>
      </c>
      <c r="E105" s="1" t="s">
        <v>75</v>
      </c>
      <c r="F105" s="1" t="s">
        <v>31</v>
      </c>
      <c r="G105" s="8">
        <v>45451</v>
      </c>
      <c r="H105" s="1">
        <v>45271</v>
      </c>
      <c r="I105" s="1" t="s">
        <v>81</v>
      </c>
      <c r="J105" s="1" t="s">
        <v>22</v>
      </c>
      <c r="K105" s="1" t="s">
        <v>32</v>
      </c>
      <c r="L105" s="1" t="s">
        <v>24</v>
      </c>
      <c r="M105" s="1" t="s">
        <v>25</v>
      </c>
      <c r="N105" s="1" t="s">
        <v>26</v>
      </c>
      <c r="O105" s="1">
        <v>65143</v>
      </c>
      <c r="P105" s="3" t="str">
        <f>IF(Table1[[#This Row],[Designation]]="Line Operator","Line Operator", "Other")</f>
        <v>Line Operator</v>
      </c>
    </row>
    <row r="106" spans="1:16" ht="15.75" customHeight="1" x14ac:dyDescent="0.25">
      <c r="A106" s="1" t="s">
        <v>267</v>
      </c>
      <c r="B106" s="1" t="s">
        <v>174</v>
      </c>
      <c r="C106" s="1" t="s">
        <v>36</v>
      </c>
      <c r="D106" s="1" t="s">
        <v>18</v>
      </c>
      <c r="E106" s="1" t="s">
        <v>75</v>
      </c>
      <c r="F106" s="1" t="s">
        <v>31</v>
      </c>
      <c r="G106" s="8">
        <v>45451</v>
      </c>
      <c r="H106" s="1">
        <v>45271</v>
      </c>
      <c r="I106" s="1" t="s">
        <v>81</v>
      </c>
      <c r="J106" s="1" t="s">
        <v>22</v>
      </c>
      <c r="K106" s="1" t="s">
        <v>23</v>
      </c>
      <c r="L106" s="1" t="s">
        <v>24</v>
      </c>
      <c r="M106" s="1" t="s">
        <v>25</v>
      </c>
      <c r="N106" s="1" t="s">
        <v>26</v>
      </c>
      <c r="O106" s="1">
        <v>10000</v>
      </c>
      <c r="P106" s="3" t="str">
        <f>IF(Table1[[#This Row],[Designation]]="Line Operator","Line Operator", "Other")</f>
        <v>Line Operator</v>
      </c>
    </row>
    <row r="107" spans="1:16" ht="15.75" customHeight="1" x14ac:dyDescent="0.25">
      <c r="A107" s="1" t="s">
        <v>268</v>
      </c>
      <c r="B107" s="1" t="s">
        <v>177</v>
      </c>
      <c r="C107" s="1" t="s">
        <v>36</v>
      </c>
      <c r="D107" s="1" t="s">
        <v>18</v>
      </c>
      <c r="E107" s="1" t="s">
        <v>75</v>
      </c>
      <c r="F107" s="1" t="s">
        <v>31</v>
      </c>
      <c r="G107" s="8">
        <v>45451</v>
      </c>
      <c r="H107" s="1">
        <v>45271</v>
      </c>
      <c r="I107" s="1" t="s">
        <v>21</v>
      </c>
      <c r="J107" s="1" t="s">
        <v>22</v>
      </c>
      <c r="K107" s="1" t="s">
        <v>32</v>
      </c>
      <c r="L107" s="1" t="s">
        <v>24</v>
      </c>
      <c r="M107" s="1" t="s">
        <v>25</v>
      </c>
      <c r="N107" s="1" t="s">
        <v>26</v>
      </c>
      <c r="O107" s="1">
        <v>10000</v>
      </c>
      <c r="P107" s="3" t="str">
        <f>IF(Table1[[#This Row],[Designation]]="Line Operator","Line Operator", "Other")</f>
        <v>Line Operator</v>
      </c>
    </row>
    <row r="108" spans="1:16" ht="15.75" customHeight="1" x14ac:dyDescent="0.25">
      <c r="A108" s="1" t="s">
        <v>269</v>
      </c>
      <c r="B108" s="1" t="s">
        <v>179</v>
      </c>
      <c r="C108" s="1" t="s">
        <v>44</v>
      </c>
      <c r="D108" s="1" t="s">
        <v>18</v>
      </c>
      <c r="E108" s="1" t="s">
        <v>75</v>
      </c>
      <c r="F108" s="1" t="s">
        <v>31</v>
      </c>
      <c r="G108" s="8">
        <v>45451</v>
      </c>
      <c r="H108" s="1">
        <v>45271</v>
      </c>
      <c r="I108" s="1" t="s">
        <v>21</v>
      </c>
      <c r="J108" s="1" t="s">
        <v>22</v>
      </c>
      <c r="K108" s="1" t="s">
        <v>58</v>
      </c>
      <c r="L108" s="1" t="s">
        <v>24</v>
      </c>
      <c r="M108" s="1" t="s">
        <v>25</v>
      </c>
      <c r="N108" s="1" t="s">
        <v>26</v>
      </c>
      <c r="O108" s="1">
        <v>5000</v>
      </c>
      <c r="P108" s="3" t="str">
        <f>IF(Table1[[#This Row],[Designation]]="Line Operator","Line Operator", "Other")</f>
        <v>Line Operator</v>
      </c>
    </row>
    <row r="109" spans="1:16" ht="15.75" customHeight="1" x14ac:dyDescent="0.25">
      <c r="A109" s="1" t="s">
        <v>270</v>
      </c>
      <c r="B109" s="1" t="s">
        <v>182</v>
      </c>
      <c r="C109" s="1" t="s">
        <v>36</v>
      </c>
      <c r="D109" s="1" t="s">
        <v>18</v>
      </c>
      <c r="E109" s="1" t="s">
        <v>75</v>
      </c>
      <c r="F109" s="1" t="s">
        <v>31</v>
      </c>
      <c r="G109" s="8">
        <v>45451</v>
      </c>
      <c r="H109" s="1">
        <v>45271</v>
      </c>
      <c r="I109" s="1" t="s">
        <v>21</v>
      </c>
      <c r="J109" s="1" t="s">
        <v>22</v>
      </c>
      <c r="K109" s="1" t="s">
        <v>23</v>
      </c>
      <c r="L109" s="1" t="s">
        <v>24</v>
      </c>
      <c r="M109" s="1" t="s">
        <v>25</v>
      </c>
      <c r="N109" s="1" t="s">
        <v>26</v>
      </c>
      <c r="O109" s="1">
        <v>5000</v>
      </c>
      <c r="P109" s="3" t="str">
        <f>IF(Table1[[#This Row],[Designation]]="Line Operator","Line Operator", "Other")</f>
        <v>Line Operator</v>
      </c>
    </row>
    <row r="110" spans="1:16" ht="15.75" customHeight="1" x14ac:dyDescent="0.25">
      <c r="A110" s="1" t="s">
        <v>271</v>
      </c>
      <c r="B110" s="1" t="s">
        <v>184</v>
      </c>
      <c r="C110" s="1" t="s">
        <v>36</v>
      </c>
      <c r="D110" s="1" t="s">
        <v>18</v>
      </c>
      <c r="E110" s="1" t="s">
        <v>75</v>
      </c>
      <c r="F110" s="1" t="s">
        <v>31</v>
      </c>
      <c r="G110" s="8">
        <v>45451</v>
      </c>
      <c r="H110" s="1">
        <v>45271</v>
      </c>
      <c r="I110" s="1" t="s">
        <v>21</v>
      </c>
      <c r="J110" s="1" t="s">
        <v>22</v>
      </c>
      <c r="K110" s="1" t="s">
        <v>23</v>
      </c>
      <c r="L110" s="1" t="s">
        <v>24</v>
      </c>
      <c r="M110" s="1" t="s">
        <v>25</v>
      </c>
      <c r="N110" s="1" t="s">
        <v>26</v>
      </c>
      <c r="O110" s="1">
        <v>5000</v>
      </c>
      <c r="P110" s="3" t="str">
        <f>IF(Table1[[#This Row],[Designation]]="Line Operator","Line Operator", "Other")</f>
        <v>Line Operator</v>
      </c>
    </row>
    <row r="111" spans="1:16" ht="15.75" customHeight="1" x14ac:dyDescent="0.25">
      <c r="A111" s="1" t="s">
        <v>272</v>
      </c>
      <c r="B111" s="1" t="s">
        <v>186</v>
      </c>
      <c r="C111" s="1" t="s">
        <v>36</v>
      </c>
      <c r="D111" s="1" t="s">
        <v>18</v>
      </c>
      <c r="E111" s="1" t="s">
        <v>75</v>
      </c>
      <c r="F111" s="1" t="s">
        <v>31</v>
      </c>
      <c r="G111" s="8">
        <v>45451</v>
      </c>
      <c r="H111" s="1">
        <v>45271</v>
      </c>
      <c r="I111" s="1" t="s">
        <v>21</v>
      </c>
      <c r="J111" s="1" t="s">
        <v>22</v>
      </c>
      <c r="K111" s="1" t="s">
        <v>32</v>
      </c>
      <c r="L111" s="1" t="s">
        <v>69</v>
      </c>
      <c r="M111" s="1" t="s">
        <v>40</v>
      </c>
      <c r="N111" s="1" t="s">
        <v>26</v>
      </c>
      <c r="O111" s="1">
        <v>5000</v>
      </c>
      <c r="P111" s="3" t="str">
        <f>IF(Table1[[#This Row],[Designation]]="Line Operator","Line Operator", "Other")</f>
        <v>Line Operator</v>
      </c>
    </row>
    <row r="112" spans="1:16" ht="15.75" customHeight="1" x14ac:dyDescent="0.25">
      <c r="A112" s="1" t="s">
        <v>273</v>
      </c>
      <c r="B112" s="1" t="s">
        <v>274</v>
      </c>
      <c r="C112" s="1" t="s">
        <v>44</v>
      </c>
      <c r="D112" s="1" t="s">
        <v>18</v>
      </c>
      <c r="E112" s="1" t="s">
        <v>75</v>
      </c>
      <c r="F112" s="1" t="s">
        <v>31</v>
      </c>
      <c r="G112" s="8">
        <v>45451</v>
      </c>
      <c r="H112" s="1">
        <v>45271</v>
      </c>
      <c r="I112" s="1" t="s">
        <v>21</v>
      </c>
      <c r="J112" s="1" t="s">
        <v>22</v>
      </c>
      <c r="K112" s="1" t="s">
        <v>23</v>
      </c>
      <c r="L112" s="1" t="s">
        <v>124</v>
      </c>
      <c r="M112" s="1" t="s">
        <v>47</v>
      </c>
      <c r="N112" s="1" t="s">
        <v>26</v>
      </c>
      <c r="O112" s="1">
        <v>5000</v>
      </c>
      <c r="P112" s="3" t="str">
        <f>IF(Table1[[#This Row],[Designation]]="Line Operator","Line Operator", "Other")</f>
        <v>Line Operator</v>
      </c>
    </row>
    <row r="113" spans="1:16" ht="15.75" customHeight="1" x14ac:dyDescent="0.25">
      <c r="A113" s="1" t="s">
        <v>275</v>
      </c>
      <c r="B113" s="1" t="s">
        <v>276</v>
      </c>
      <c r="C113" s="1" t="s">
        <v>36</v>
      </c>
      <c r="D113" s="1" t="s">
        <v>18</v>
      </c>
      <c r="E113" s="1" t="s">
        <v>75</v>
      </c>
      <c r="F113" s="1" t="s">
        <v>31</v>
      </c>
      <c r="G113" s="8">
        <v>45451</v>
      </c>
      <c r="H113" s="1">
        <v>45271</v>
      </c>
      <c r="I113" s="1" t="s">
        <v>21</v>
      </c>
      <c r="J113" s="1" t="s">
        <v>22</v>
      </c>
      <c r="K113" s="1" t="s">
        <v>72</v>
      </c>
      <c r="L113" s="1" t="s">
        <v>119</v>
      </c>
      <c r="M113" s="1" t="s">
        <v>25</v>
      </c>
      <c r="N113" s="1" t="s">
        <v>26</v>
      </c>
      <c r="O113" s="1">
        <v>5000</v>
      </c>
      <c r="P113" s="3" t="str">
        <f>IF(Table1[[#This Row],[Designation]]="Line Operator","Line Operator", "Other")</f>
        <v>Line Operator</v>
      </c>
    </row>
    <row r="114" spans="1:16" ht="15.75" customHeight="1" x14ac:dyDescent="0.25">
      <c r="A114" s="1" t="s">
        <v>277</v>
      </c>
      <c r="B114" s="1" t="s">
        <v>16</v>
      </c>
      <c r="C114" s="1" t="s">
        <v>36</v>
      </c>
      <c r="D114" s="1" t="s">
        <v>18</v>
      </c>
      <c r="E114" s="1" t="s">
        <v>75</v>
      </c>
      <c r="F114" s="1" t="s">
        <v>31</v>
      </c>
      <c r="G114" s="8">
        <v>45451</v>
      </c>
      <c r="H114" s="1">
        <v>45271</v>
      </c>
      <c r="I114" s="1" t="s">
        <v>81</v>
      </c>
      <c r="J114" s="1" t="s">
        <v>22</v>
      </c>
      <c r="K114" s="1" t="s">
        <v>23</v>
      </c>
      <c r="L114" s="1" t="s">
        <v>24</v>
      </c>
      <c r="M114" s="1" t="s">
        <v>25</v>
      </c>
      <c r="N114" s="1" t="s">
        <v>26</v>
      </c>
      <c r="O114" s="1">
        <v>5000</v>
      </c>
      <c r="P114" s="3" t="str">
        <f>IF(Table1[[#This Row],[Designation]]="Line Operator","Line Operator", "Other")</f>
        <v>Line Operator</v>
      </c>
    </row>
    <row r="115" spans="1:16" ht="15.75" customHeight="1" x14ac:dyDescent="0.25">
      <c r="A115" s="1" t="s">
        <v>278</v>
      </c>
      <c r="B115" s="1" t="s">
        <v>28</v>
      </c>
      <c r="C115" s="1" t="s">
        <v>205</v>
      </c>
      <c r="D115" s="1" t="s">
        <v>18</v>
      </c>
      <c r="E115" s="1" t="s">
        <v>75</v>
      </c>
      <c r="F115" s="1" t="s">
        <v>31</v>
      </c>
      <c r="G115" s="8">
        <v>45451</v>
      </c>
      <c r="H115" s="1">
        <v>45271</v>
      </c>
      <c r="I115" s="1" t="s">
        <v>21</v>
      </c>
      <c r="J115" s="1" t="s">
        <v>22</v>
      </c>
      <c r="K115" s="1" t="s">
        <v>38</v>
      </c>
      <c r="L115" s="1" t="s">
        <v>279</v>
      </c>
      <c r="M115" s="1" t="s">
        <v>51</v>
      </c>
      <c r="N115" s="1" t="s">
        <v>26</v>
      </c>
      <c r="O115" s="1">
        <v>5000</v>
      </c>
      <c r="P115" s="3" t="str">
        <f>IF(Table1[[#This Row],[Designation]]="Line Operator","Line Operator", "Other")</f>
        <v>Line Operator</v>
      </c>
    </row>
    <row r="116" spans="1:16" ht="15.75" customHeight="1" x14ac:dyDescent="0.25">
      <c r="A116" s="1" t="s">
        <v>280</v>
      </c>
      <c r="B116" s="1" t="s">
        <v>35</v>
      </c>
      <c r="C116" s="1" t="s">
        <v>36</v>
      </c>
      <c r="D116" s="1" t="s">
        <v>18</v>
      </c>
      <c r="E116" s="1" t="s">
        <v>75</v>
      </c>
      <c r="F116" s="1" t="s">
        <v>31</v>
      </c>
      <c r="G116" s="8">
        <v>45451</v>
      </c>
      <c r="H116" s="1">
        <v>45271</v>
      </c>
      <c r="I116" s="1" t="s">
        <v>21</v>
      </c>
      <c r="J116" s="1" t="s">
        <v>22</v>
      </c>
      <c r="K116" s="1" t="s">
        <v>38</v>
      </c>
      <c r="L116" s="1" t="s">
        <v>24</v>
      </c>
      <c r="M116" s="1" t="s">
        <v>25</v>
      </c>
      <c r="N116" s="1" t="s">
        <v>26</v>
      </c>
      <c r="O116" s="1">
        <v>5000</v>
      </c>
      <c r="P116" s="3" t="str">
        <f>IF(Table1[[#This Row],[Designation]]="Line Operator","Line Operator", "Other")</f>
        <v>Line Operator</v>
      </c>
    </row>
    <row r="117" spans="1:16" ht="15.75" customHeight="1" x14ac:dyDescent="0.25">
      <c r="A117" s="1" t="s">
        <v>281</v>
      </c>
      <c r="B117" s="1" t="s">
        <v>43</v>
      </c>
      <c r="C117" s="1" t="s">
        <v>17</v>
      </c>
      <c r="D117" s="1" t="s">
        <v>18</v>
      </c>
      <c r="E117" s="1" t="s">
        <v>75</v>
      </c>
      <c r="F117" s="1" t="s">
        <v>31</v>
      </c>
      <c r="G117" s="8">
        <v>45451</v>
      </c>
      <c r="H117" s="1">
        <v>45271</v>
      </c>
      <c r="I117" s="1" t="s">
        <v>21</v>
      </c>
      <c r="J117" s="1" t="s">
        <v>22</v>
      </c>
      <c r="K117" s="1" t="s">
        <v>38</v>
      </c>
      <c r="L117" s="1" t="s">
        <v>282</v>
      </c>
      <c r="M117" s="1" t="s">
        <v>283</v>
      </c>
      <c r="N117" s="1" t="s">
        <v>26</v>
      </c>
      <c r="O117" s="1">
        <v>5000</v>
      </c>
      <c r="P117" s="3" t="str">
        <f>IF(Table1[[#This Row],[Designation]]="Line Operator","Line Operator", "Other")</f>
        <v>Line Operator</v>
      </c>
    </row>
    <row r="118" spans="1:16" ht="15.75" customHeight="1" x14ac:dyDescent="0.25">
      <c r="A118" s="1" t="s">
        <v>284</v>
      </c>
      <c r="B118" s="1" t="s">
        <v>49</v>
      </c>
      <c r="C118" s="1" t="s">
        <v>36</v>
      </c>
      <c r="D118" s="1" t="s">
        <v>180</v>
      </c>
      <c r="E118" s="1" t="s">
        <v>75</v>
      </c>
      <c r="F118" s="1" t="s">
        <v>31</v>
      </c>
      <c r="G118" s="8">
        <v>45451</v>
      </c>
      <c r="H118" s="1">
        <v>45271</v>
      </c>
      <c r="I118" s="1" t="s">
        <v>21</v>
      </c>
      <c r="J118" s="1" t="s">
        <v>22</v>
      </c>
      <c r="K118" s="1" t="s">
        <v>32</v>
      </c>
      <c r="L118" s="1" t="s">
        <v>69</v>
      </c>
      <c r="M118" s="1" t="s">
        <v>40</v>
      </c>
      <c r="N118" s="1" t="s">
        <v>26</v>
      </c>
      <c r="O118" s="1">
        <v>5000</v>
      </c>
      <c r="P118" s="3" t="str">
        <f>IF(Table1[[#This Row],[Designation]]="Line Operator","Line Operator", "Other")</f>
        <v>Other</v>
      </c>
    </row>
    <row r="119" spans="1:16" ht="15.75" customHeight="1" x14ac:dyDescent="0.25">
      <c r="A119" s="1" t="s">
        <v>285</v>
      </c>
      <c r="B119" s="1" t="s">
        <v>53</v>
      </c>
      <c r="C119" s="1" t="s">
        <v>36</v>
      </c>
      <c r="D119" s="1" t="s">
        <v>169</v>
      </c>
      <c r="E119" s="1" t="s">
        <v>75</v>
      </c>
      <c r="F119" s="1" t="s">
        <v>31</v>
      </c>
      <c r="G119" s="8">
        <v>45452</v>
      </c>
      <c r="H119" s="1">
        <v>45272</v>
      </c>
      <c r="I119" s="1" t="s">
        <v>21</v>
      </c>
      <c r="J119" s="1" t="s">
        <v>22</v>
      </c>
      <c r="K119" s="1" t="s">
        <v>38</v>
      </c>
      <c r="L119" s="1" t="s">
        <v>24</v>
      </c>
      <c r="M119" s="1" t="s">
        <v>25</v>
      </c>
      <c r="N119" s="1" t="s">
        <v>26</v>
      </c>
      <c r="O119" s="1">
        <v>5000</v>
      </c>
      <c r="P119" s="3" t="str">
        <f>IF(Table1[[#This Row],[Designation]]="Line Operator","Line Operator", "Other")</f>
        <v>Other</v>
      </c>
    </row>
    <row r="120" spans="1:16" ht="15.75" customHeight="1" x14ac:dyDescent="0.25">
      <c r="A120" s="1" t="s">
        <v>286</v>
      </c>
      <c r="B120" s="1" t="s">
        <v>55</v>
      </c>
      <c r="C120" s="1" t="s">
        <v>36</v>
      </c>
      <c r="D120" s="1" t="s">
        <v>169</v>
      </c>
      <c r="E120" s="1" t="s">
        <v>75</v>
      </c>
      <c r="F120" s="1" t="s">
        <v>31</v>
      </c>
      <c r="G120" s="8">
        <v>45452</v>
      </c>
      <c r="H120" s="1">
        <v>45272</v>
      </c>
      <c r="I120" s="1" t="s">
        <v>21</v>
      </c>
      <c r="J120" s="1" t="s">
        <v>22</v>
      </c>
      <c r="K120" s="1" t="s">
        <v>23</v>
      </c>
      <c r="L120" s="1" t="s">
        <v>24</v>
      </c>
      <c r="M120" s="1" t="s">
        <v>25</v>
      </c>
      <c r="N120" s="1" t="s">
        <v>26</v>
      </c>
      <c r="O120" s="1">
        <v>5000</v>
      </c>
      <c r="P120" s="3" t="str">
        <f>IF(Table1[[#This Row],[Designation]]="Line Operator","Line Operator", "Other")</f>
        <v>Other</v>
      </c>
    </row>
    <row r="121" spans="1:16" ht="15.75" customHeight="1" x14ac:dyDescent="0.25">
      <c r="A121" s="1" t="s">
        <v>287</v>
      </c>
      <c r="B121" s="1" t="s">
        <v>288</v>
      </c>
      <c r="C121" s="1" t="s">
        <v>44</v>
      </c>
      <c r="D121" s="1" t="s">
        <v>169</v>
      </c>
      <c r="E121" s="1" t="s">
        <v>75</v>
      </c>
      <c r="F121" s="1" t="s">
        <v>31</v>
      </c>
      <c r="G121" s="8">
        <v>45452</v>
      </c>
      <c r="H121" s="1">
        <v>45272</v>
      </c>
      <c r="I121" s="1" t="s">
        <v>21</v>
      </c>
      <c r="J121" s="1" t="s">
        <v>22</v>
      </c>
      <c r="K121" s="1" t="s">
        <v>23</v>
      </c>
      <c r="L121" s="1" t="s">
        <v>96</v>
      </c>
      <c r="M121" s="1" t="s">
        <v>47</v>
      </c>
      <c r="N121" s="1" t="s">
        <v>26</v>
      </c>
      <c r="O121" s="1">
        <v>5000</v>
      </c>
      <c r="P121" s="3" t="str">
        <f>IF(Table1[[#This Row],[Designation]]="Line Operator","Line Operator", "Other")</f>
        <v>Other</v>
      </c>
    </row>
    <row r="122" spans="1:16" ht="15.75" customHeight="1" x14ac:dyDescent="0.25">
      <c r="A122" s="1" t="s">
        <v>289</v>
      </c>
      <c r="B122" s="1" t="s">
        <v>60</v>
      </c>
      <c r="C122" s="1" t="s">
        <v>17</v>
      </c>
      <c r="D122" s="1" t="s">
        <v>169</v>
      </c>
      <c r="E122" s="1" t="s">
        <v>75</v>
      </c>
      <c r="F122" s="1" t="s">
        <v>31</v>
      </c>
      <c r="G122" s="8">
        <v>45452</v>
      </c>
      <c r="H122" s="1">
        <v>45272</v>
      </c>
      <c r="I122" s="1" t="s">
        <v>21</v>
      </c>
      <c r="J122" s="1" t="s">
        <v>22</v>
      </c>
      <c r="K122" s="1" t="s">
        <v>32</v>
      </c>
      <c r="L122" s="1" t="s">
        <v>290</v>
      </c>
      <c r="M122" s="1" t="s">
        <v>47</v>
      </c>
      <c r="N122" s="1" t="s">
        <v>26</v>
      </c>
      <c r="O122" s="1">
        <v>5000</v>
      </c>
      <c r="P122" s="3" t="str">
        <f>IF(Table1[[#This Row],[Designation]]="Line Operator","Line Operator", "Other")</f>
        <v>Other</v>
      </c>
    </row>
    <row r="123" spans="1:16" ht="15.75" customHeight="1" x14ac:dyDescent="0.25">
      <c r="A123" s="1" t="s">
        <v>291</v>
      </c>
      <c r="B123" s="1" t="s">
        <v>62</v>
      </c>
      <c r="C123" s="1" t="s">
        <v>17</v>
      </c>
      <c r="D123" s="1" t="s">
        <v>169</v>
      </c>
      <c r="E123" s="1" t="s">
        <v>75</v>
      </c>
      <c r="F123" s="1" t="s">
        <v>31</v>
      </c>
      <c r="G123" s="8">
        <v>45452</v>
      </c>
      <c r="H123" s="1">
        <v>45272</v>
      </c>
      <c r="I123" s="1" t="s">
        <v>21</v>
      </c>
      <c r="J123" s="1" t="s">
        <v>22</v>
      </c>
      <c r="K123" s="1" t="s">
        <v>115</v>
      </c>
      <c r="L123" s="1" t="s">
        <v>220</v>
      </c>
      <c r="M123" s="1" t="s">
        <v>25</v>
      </c>
      <c r="N123" s="1" t="s">
        <v>26</v>
      </c>
      <c r="O123" s="1">
        <v>5000</v>
      </c>
      <c r="P123" s="3" t="str">
        <f>IF(Table1[[#This Row],[Designation]]="Line Operator","Line Operator", "Other")</f>
        <v>Other</v>
      </c>
    </row>
    <row r="124" spans="1:16" ht="15.75" customHeight="1" x14ac:dyDescent="0.25">
      <c r="A124" s="1" t="s">
        <v>292</v>
      </c>
      <c r="B124" s="1" t="s">
        <v>64</v>
      </c>
      <c r="C124" s="1" t="s">
        <v>205</v>
      </c>
      <c r="D124" s="1" t="s">
        <v>194</v>
      </c>
      <c r="E124" s="1" t="s">
        <v>75</v>
      </c>
      <c r="F124" s="1" t="s">
        <v>31</v>
      </c>
      <c r="G124" s="8">
        <v>45452</v>
      </c>
      <c r="H124" s="1">
        <v>45272</v>
      </c>
      <c r="I124" s="1" t="s">
        <v>21</v>
      </c>
      <c r="J124" s="1" t="s">
        <v>37</v>
      </c>
      <c r="K124" s="1" t="s">
        <v>23</v>
      </c>
      <c r="L124" s="1" t="s">
        <v>293</v>
      </c>
      <c r="M124" s="1" t="s">
        <v>40</v>
      </c>
      <c r="N124" s="1" t="s">
        <v>26</v>
      </c>
      <c r="O124" s="1">
        <v>5000</v>
      </c>
      <c r="P124" s="3" t="str">
        <f>IF(Table1[[#This Row],[Designation]]="Line Operator","Line Operator", "Other")</f>
        <v>Other</v>
      </c>
    </row>
    <row r="125" spans="1:16" ht="15.75" customHeight="1" x14ac:dyDescent="0.25">
      <c r="A125" s="1" t="s">
        <v>294</v>
      </c>
      <c r="B125" s="1" t="s">
        <v>66</v>
      </c>
      <c r="C125" s="1" t="s">
        <v>205</v>
      </c>
      <c r="D125" s="1" t="s">
        <v>175</v>
      </c>
      <c r="E125" s="1" t="s">
        <v>75</v>
      </c>
      <c r="F125" s="1" t="s">
        <v>31</v>
      </c>
      <c r="G125" s="8">
        <v>45452</v>
      </c>
      <c r="H125" s="1">
        <v>45272</v>
      </c>
      <c r="I125" s="1" t="s">
        <v>21</v>
      </c>
      <c r="J125" s="1" t="s">
        <v>22</v>
      </c>
      <c r="K125" s="1" t="s">
        <v>23</v>
      </c>
      <c r="L125" s="1" t="s">
        <v>172</v>
      </c>
      <c r="M125" s="1" t="s">
        <v>51</v>
      </c>
      <c r="N125" s="1" t="s">
        <v>26</v>
      </c>
      <c r="O125" s="1">
        <v>5000</v>
      </c>
      <c r="P125" s="3" t="str">
        <f>IF(Table1[[#This Row],[Designation]]="Line Operator","Line Operator", "Other")</f>
        <v>Other</v>
      </c>
    </row>
    <row r="126" spans="1:16" ht="15.75" customHeight="1" x14ac:dyDescent="0.25">
      <c r="A126" s="1" t="s">
        <v>295</v>
      </c>
      <c r="B126" s="1" t="s">
        <v>68</v>
      </c>
      <c r="C126" s="1" t="s">
        <v>17</v>
      </c>
      <c r="D126" s="1" t="s">
        <v>199</v>
      </c>
      <c r="E126" s="1" t="s">
        <v>75</v>
      </c>
      <c r="F126" s="1" t="s">
        <v>31</v>
      </c>
      <c r="G126" s="8">
        <v>45452</v>
      </c>
      <c r="H126" s="1">
        <v>45272</v>
      </c>
      <c r="I126" s="1" t="s">
        <v>21</v>
      </c>
      <c r="J126" s="1" t="s">
        <v>22</v>
      </c>
      <c r="K126" s="1" t="s">
        <v>23</v>
      </c>
      <c r="L126" s="1" t="s">
        <v>39</v>
      </c>
      <c r="M126" s="1" t="s">
        <v>40</v>
      </c>
      <c r="N126" s="1" t="s">
        <v>26</v>
      </c>
      <c r="O126" s="1">
        <v>5000</v>
      </c>
      <c r="P126" s="3" t="str">
        <f>IF(Table1[[#This Row],[Designation]]="Line Operator","Line Operator", "Other")</f>
        <v>Other</v>
      </c>
    </row>
    <row r="127" spans="1:16" ht="15.75" customHeight="1" x14ac:dyDescent="0.25">
      <c r="A127" s="1" t="s">
        <v>296</v>
      </c>
      <c r="B127" s="1" t="s">
        <v>71</v>
      </c>
      <c r="C127" s="1" t="s">
        <v>17</v>
      </c>
      <c r="D127" s="1" t="s">
        <v>202</v>
      </c>
      <c r="E127" s="1" t="s">
        <v>75</v>
      </c>
      <c r="F127" s="1" t="s">
        <v>31</v>
      </c>
      <c r="G127" s="8">
        <v>45452</v>
      </c>
      <c r="H127" s="1">
        <v>45272</v>
      </c>
      <c r="I127" s="1" t="s">
        <v>21</v>
      </c>
      <c r="J127" s="1" t="s">
        <v>22</v>
      </c>
      <c r="K127" s="1" t="s">
        <v>32</v>
      </c>
      <c r="L127" s="1" t="s">
        <v>24</v>
      </c>
      <c r="M127" s="1" t="s">
        <v>25</v>
      </c>
      <c r="N127" s="1" t="s">
        <v>26</v>
      </c>
      <c r="O127" s="1">
        <v>5000</v>
      </c>
      <c r="P127" s="3" t="str">
        <f>IF(Table1[[#This Row],[Designation]]="Line Operator","Line Operator", "Other")</f>
        <v>Other</v>
      </c>
    </row>
    <row r="128" spans="1:16" ht="15.75" customHeight="1" x14ac:dyDescent="0.25">
      <c r="A128" s="1" t="s">
        <v>297</v>
      </c>
      <c r="B128" s="1" t="s">
        <v>74</v>
      </c>
      <c r="C128" s="1" t="s">
        <v>17</v>
      </c>
      <c r="D128" s="1" t="s">
        <v>18</v>
      </c>
      <c r="E128" s="1" t="s">
        <v>75</v>
      </c>
      <c r="F128" s="1" t="s">
        <v>31</v>
      </c>
      <c r="G128" s="8">
        <v>45452</v>
      </c>
      <c r="H128" s="1">
        <v>45272</v>
      </c>
      <c r="I128" s="1" t="s">
        <v>21</v>
      </c>
      <c r="J128" s="1" t="s">
        <v>22</v>
      </c>
      <c r="K128" s="1" t="s">
        <v>23</v>
      </c>
      <c r="L128" s="1" t="s">
        <v>24</v>
      </c>
      <c r="M128" s="1" t="s">
        <v>25</v>
      </c>
      <c r="N128" s="1" t="s">
        <v>26</v>
      </c>
      <c r="O128" s="1">
        <v>5000</v>
      </c>
      <c r="P128" s="3" t="str">
        <f>IF(Table1[[#This Row],[Designation]]="Line Operator","Line Operator", "Other")</f>
        <v>Line Operator</v>
      </c>
    </row>
    <row r="129" spans="1:16" ht="15.75" customHeight="1" x14ac:dyDescent="0.25">
      <c r="A129" s="1" t="s">
        <v>298</v>
      </c>
      <c r="B129" s="1" t="s">
        <v>77</v>
      </c>
      <c r="C129" s="1" t="s">
        <v>17</v>
      </c>
      <c r="D129" s="1" t="s">
        <v>18</v>
      </c>
      <c r="E129" s="1" t="s">
        <v>75</v>
      </c>
      <c r="F129" s="1" t="s">
        <v>31</v>
      </c>
      <c r="G129" s="8">
        <v>45452</v>
      </c>
      <c r="H129" s="1">
        <v>45272</v>
      </c>
      <c r="I129" s="1" t="s">
        <v>21</v>
      </c>
      <c r="J129" s="1" t="s">
        <v>22</v>
      </c>
      <c r="K129" s="1" t="s">
        <v>38</v>
      </c>
      <c r="L129" s="1" t="s">
        <v>299</v>
      </c>
      <c r="M129" s="1" t="s">
        <v>47</v>
      </c>
      <c r="N129" s="1" t="s">
        <v>26</v>
      </c>
      <c r="O129" s="1">
        <v>52542</v>
      </c>
      <c r="P129" s="3" t="str">
        <f>IF(Table1[[#This Row],[Designation]]="Line Operator","Line Operator", "Other")</f>
        <v>Line Operator</v>
      </c>
    </row>
    <row r="130" spans="1:16" ht="15.75" customHeight="1" x14ac:dyDescent="0.25">
      <c r="A130" s="1" t="s">
        <v>300</v>
      </c>
      <c r="B130" s="1" t="s">
        <v>79</v>
      </c>
      <c r="C130" s="1" t="s">
        <v>44</v>
      </c>
      <c r="D130" s="1" t="s">
        <v>18</v>
      </c>
      <c r="E130" s="1" t="s">
        <v>75</v>
      </c>
      <c r="F130" s="1" t="s">
        <v>31</v>
      </c>
      <c r="G130" s="8">
        <v>45452</v>
      </c>
      <c r="H130" s="1">
        <v>45272</v>
      </c>
      <c r="I130" s="1" t="s">
        <v>81</v>
      </c>
      <c r="J130" s="1" t="s">
        <v>37</v>
      </c>
      <c r="K130" s="1" t="s">
        <v>38</v>
      </c>
      <c r="L130" s="1" t="s">
        <v>220</v>
      </c>
      <c r="M130" s="1" t="s">
        <v>25</v>
      </c>
      <c r="N130" s="1" t="s">
        <v>26</v>
      </c>
      <c r="O130" s="1">
        <v>5000</v>
      </c>
      <c r="P130" s="3" t="str">
        <f>IF(Table1[[#This Row],[Designation]]="Line Operator","Line Operator", "Other")</f>
        <v>Line Operator</v>
      </c>
    </row>
    <row r="131" spans="1:16" ht="15.75" customHeight="1" x14ac:dyDescent="0.25">
      <c r="A131" s="1" t="s">
        <v>301</v>
      </c>
      <c r="B131" s="1" t="s">
        <v>83</v>
      </c>
      <c r="C131" s="1" t="s">
        <v>36</v>
      </c>
      <c r="D131" s="1" t="s">
        <v>18</v>
      </c>
      <c r="E131" s="1" t="s">
        <v>75</v>
      </c>
      <c r="F131" s="1" t="s">
        <v>31</v>
      </c>
      <c r="G131" s="8">
        <v>45452</v>
      </c>
      <c r="H131" s="1">
        <v>45272</v>
      </c>
      <c r="I131" s="1" t="s">
        <v>21</v>
      </c>
      <c r="J131" s="1" t="s">
        <v>22</v>
      </c>
      <c r="K131" s="1" t="s">
        <v>32</v>
      </c>
      <c r="L131" s="1" t="s">
        <v>220</v>
      </c>
      <c r="M131" s="1" t="s">
        <v>25</v>
      </c>
      <c r="N131" s="1" t="s">
        <v>26</v>
      </c>
      <c r="O131" s="1">
        <v>5000</v>
      </c>
      <c r="P131" s="3" t="str">
        <f>IF(Table1[[#This Row],[Designation]]="Line Operator","Line Operator", "Other")</f>
        <v>Line Operator</v>
      </c>
    </row>
    <row r="132" spans="1:16" ht="15.75" customHeight="1" x14ac:dyDescent="0.25">
      <c r="A132" s="1" t="s">
        <v>302</v>
      </c>
      <c r="B132" s="1" t="s">
        <v>85</v>
      </c>
      <c r="C132" s="1" t="s">
        <v>36</v>
      </c>
      <c r="D132" s="1" t="s">
        <v>18</v>
      </c>
      <c r="E132" s="1" t="s">
        <v>75</v>
      </c>
      <c r="F132" s="1" t="s">
        <v>31</v>
      </c>
      <c r="G132" s="8">
        <v>45452</v>
      </c>
      <c r="H132" s="1">
        <v>45272</v>
      </c>
      <c r="I132" s="1" t="s">
        <v>21</v>
      </c>
      <c r="J132" s="1" t="s">
        <v>22</v>
      </c>
      <c r="K132" s="1" t="s">
        <v>23</v>
      </c>
      <c r="L132" s="1" t="s">
        <v>220</v>
      </c>
      <c r="M132" s="1" t="s">
        <v>25</v>
      </c>
      <c r="N132" s="1" t="s">
        <v>26</v>
      </c>
      <c r="O132" s="1">
        <v>5000</v>
      </c>
      <c r="P132" s="3" t="str">
        <f>IF(Table1[[#This Row],[Designation]]="Line Operator","Line Operator", "Other")</f>
        <v>Line Operator</v>
      </c>
    </row>
    <row r="133" spans="1:16" ht="15.75" customHeight="1" x14ac:dyDescent="0.25">
      <c r="A133" s="1" t="s">
        <v>303</v>
      </c>
      <c r="B133" s="1" t="s">
        <v>87</v>
      </c>
      <c r="C133" s="1" t="s">
        <v>36</v>
      </c>
      <c r="D133" s="1" t="s">
        <v>18</v>
      </c>
      <c r="E133" s="1" t="s">
        <v>75</v>
      </c>
      <c r="F133" s="1" t="s">
        <v>31</v>
      </c>
      <c r="G133" s="8">
        <v>45452</v>
      </c>
      <c r="H133" s="1">
        <v>45272</v>
      </c>
      <c r="I133" s="1" t="s">
        <v>21</v>
      </c>
      <c r="J133" s="1" t="s">
        <v>22</v>
      </c>
      <c r="K133" s="1" t="s">
        <v>32</v>
      </c>
      <c r="L133" s="1" t="s">
        <v>220</v>
      </c>
      <c r="M133" s="1" t="s">
        <v>25</v>
      </c>
      <c r="N133" s="1" t="s">
        <v>26</v>
      </c>
      <c r="O133" s="1">
        <v>5000</v>
      </c>
      <c r="P133" s="3" t="str">
        <f>IF(Table1[[#This Row],[Designation]]="Line Operator","Line Operator", "Other")</f>
        <v>Line Operator</v>
      </c>
    </row>
    <row r="134" spans="1:16" ht="15.75" customHeight="1" x14ac:dyDescent="0.25">
      <c r="A134" s="1" t="s">
        <v>304</v>
      </c>
      <c r="B134" s="1" t="s">
        <v>89</v>
      </c>
      <c r="C134" s="1" t="s">
        <v>44</v>
      </c>
      <c r="D134" s="1" t="s">
        <v>18</v>
      </c>
      <c r="E134" s="1" t="s">
        <v>75</v>
      </c>
      <c r="F134" s="1" t="s">
        <v>31</v>
      </c>
      <c r="G134" s="8">
        <v>45452</v>
      </c>
      <c r="H134" s="1">
        <v>45272</v>
      </c>
      <c r="I134" s="1" t="s">
        <v>21</v>
      </c>
      <c r="J134" s="1" t="s">
        <v>37</v>
      </c>
      <c r="K134" s="1" t="s">
        <v>23</v>
      </c>
      <c r="L134" s="1" t="s">
        <v>220</v>
      </c>
      <c r="M134" s="1" t="s">
        <v>25</v>
      </c>
      <c r="N134" s="1" t="s">
        <v>26</v>
      </c>
      <c r="O134" s="1">
        <v>5000</v>
      </c>
      <c r="P134" s="3" t="str">
        <f>IF(Table1[[#This Row],[Designation]]="Line Operator","Line Operator", "Other")</f>
        <v>Line Operator</v>
      </c>
    </row>
    <row r="135" spans="1:16" ht="15.75" customHeight="1" x14ac:dyDescent="0.25">
      <c r="A135" s="1" t="s">
        <v>305</v>
      </c>
      <c r="B135" s="1" t="s">
        <v>91</v>
      </c>
      <c r="C135" s="1" t="s">
        <v>36</v>
      </c>
      <c r="D135" s="1" t="s">
        <v>18</v>
      </c>
      <c r="E135" s="1" t="s">
        <v>75</v>
      </c>
      <c r="F135" s="1" t="s">
        <v>31</v>
      </c>
      <c r="G135" s="8">
        <v>45452</v>
      </c>
      <c r="H135" s="1">
        <v>45272</v>
      </c>
      <c r="I135" s="1" t="s">
        <v>21</v>
      </c>
      <c r="J135" s="1" t="s">
        <v>22</v>
      </c>
      <c r="K135" s="1" t="s">
        <v>115</v>
      </c>
      <c r="L135" s="1" t="s">
        <v>220</v>
      </c>
      <c r="M135" s="1" t="s">
        <v>25</v>
      </c>
      <c r="N135" s="1" t="s">
        <v>26</v>
      </c>
      <c r="O135" s="1">
        <v>5000</v>
      </c>
      <c r="P135" s="3" t="str">
        <f>IF(Table1[[#This Row],[Designation]]="Line Operator","Line Operator", "Other")</f>
        <v>Line Operator</v>
      </c>
    </row>
    <row r="136" spans="1:16" ht="15.75" customHeight="1" x14ac:dyDescent="0.25">
      <c r="A136" s="1" t="s">
        <v>306</v>
      </c>
      <c r="B136" s="1" t="s">
        <v>307</v>
      </c>
      <c r="C136" s="1" t="s">
        <v>17</v>
      </c>
      <c r="D136" s="1" t="s">
        <v>18</v>
      </c>
      <c r="E136" s="1" t="s">
        <v>75</v>
      </c>
      <c r="F136" s="1" t="s">
        <v>31</v>
      </c>
      <c r="G136" s="8">
        <v>45452</v>
      </c>
      <c r="H136" s="1">
        <v>45272</v>
      </c>
      <c r="I136" s="1" t="s">
        <v>21</v>
      </c>
      <c r="J136" s="1" t="s">
        <v>37</v>
      </c>
      <c r="K136" s="1" t="s">
        <v>23</v>
      </c>
      <c r="L136" s="1" t="s">
        <v>308</v>
      </c>
      <c r="M136" s="1" t="s">
        <v>40</v>
      </c>
      <c r="N136" s="1" t="s">
        <v>26</v>
      </c>
      <c r="O136" s="1">
        <v>5000</v>
      </c>
      <c r="P136" s="3" t="str">
        <f>IF(Table1[[#This Row],[Designation]]="Line Operator","Line Operator", "Other")</f>
        <v>Line Operator</v>
      </c>
    </row>
    <row r="137" spans="1:16" ht="15.75" customHeight="1" x14ac:dyDescent="0.25">
      <c r="A137" s="1" t="s">
        <v>309</v>
      </c>
      <c r="B137" s="1" t="s">
        <v>310</v>
      </c>
      <c r="C137" s="1" t="s">
        <v>36</v>
      </c>
      <c r="D137" s="1" t="s">
        <v>18</v>
      </c>
      <c r="E137" s="1" t="s">
        <v>75</v>
      </c>
      <c r="F137" s="1" t="s">
        <v>31</v>
      </c>
      <c r="G137" s="8">
        <v>45452</v>
      </c>
      <c r="H137" s="1">
        <v>45272</v>
      </c>
      <c r="I137" s="1" t="s">
        <v>21</v>
      </c>
      <c r="J137" s="1" t="s">
        <v>22</v>
      </c>
      <c r="K137" s="1" t="s">
        <v>23</v>
      </c>
      <c r="L137" s="1" t="s">
        <v>220</v>
      </c>
      <c r="M137" s="1" t="s">
        <v>25</v>
      </c>
      <c r="N137" s="1" t="s">
        <v>26</v>
      </c>
      <c r="O137" s="1">
        <v>5000</v>
      </c>
      <c r="P137" s="3" t="str">
        <f>IF(Table1[[#This Row],[Designation]]="Line Operator","Line Operator", "Other")</f>
        <v>Line Operator</v>
      </c>
    </row>
    <row r="138" spans="1:16" ht="15.75" customHeight="1" x14ac:dyDescent="0.25">
      <c r="A138" s="1" t="s">
        <v>311</v>
      </c>
      <c r="B138" s="1" t="s">
        <v>312</v>
      </c>
      <c r="C138" s="1" t="s">
        <v>36</v>
      </c>
      <c r="D138" s="1" t="s">
        <v>18</v>
      </c>
      <c r="E138" s="1" t="s">
        <v>75</v>
      </c>
      <c r="F138" s="1" t="s">
        <v>31</v>
      </c>
      <c r="G138" s="8">
        <v>45452</v>
      </c>
      <c r="H138" s="1">
        <v>45272</v>
      </c>
      <c r="I138" s="1" t="s">
        <v>21</v>
      </c>
      <c r="J138" s="1" t="s">
        <v>22</v>
      </c>
      <c r="K138" s="1" t="s">
        <v>23</v>
      </c>
      <c r="L138" s="1" t="s">
        <v>24</v>
      </c>
      <c r="M138" s="1" t="s">
        <v>25</v>
      </c>
      <c r="N138" s="1" t="s">
        <v>26</v>
      </c>
      <c r="O138" s="1">
        <v>5000</v>
      </c>
      <c r="P138" s="3" t="str">
        <f>IF(Table1[[#This Row],[Designation]]="Line Operator","Line Operator", "Other")</f>
        <v>Line Operator</v>
      </c>
    </row>
    <row r="139" spans="1:16" ht="15.75" customHeight="1" x14ac:dyDescent="0.25">
      <c r="A139" s="1" t="s">
        <v>313</v>
      </c>
      <c r="B139" s="1" t="s">
        <v>314</v>
      </c>
      <c r="C139" s="1" t="s">
        <v>36</v>
      </c>
      <c r="D139" s="1" t="s">
        <v>18</v>
      </c>
      <c r="E139" s="1" t="s">
        <v>75</v>
      </c>
      <c r="F139" s="1" t="s">
        <v>31</v>
      </c>
      <c r="G139" s="8">
        <v>45452</v>
      </c>
      <c r="H139" s="1">
        <v>45272</v>
      </c>
      <c r="I139" s="1" t="s">
        <v>21</v>
      </c>
      <c r="J139" s="1" t="s">
        <v>22</v>
      </c>
      <c r="K139" s="1" t="s">
        <v>58</v>
      </c>
      <c r="L139" s="1" t="s">
        <v>220</v>
      </c>
      <c r="M139" s="1" t="s">
        <v>25</v>
      </c>
      <c r="N139" s="1" t="s">
        <v>26</v>
      </c>
      <c r="O139" s="1">
        <v>5000</v>
      </c>
      <c r="P139" s="3" t="str">
        <f>IF(Table1[[#This Row],[Designation]]="Line Operator","Line Operator", "Other")</f>
        <v>Line Operator</v>
      </c>
    </row>
    <row r="140" spans="1:16" ht="15.75" customHeight="1" x14ac:dyDescent="0.25">
      <c r="A140" s="1" t="s">
        <v>315</v>
      </c>
      <c r="B140" s="1" t="s">
        <v>316</v>
      </c>
      <c r="C140" s="1" t="s">
        <v>36</v>
      </c>
      <c r="D140" s="1" t="s">
        <v>18</v>
      </c>
      <c r="E140" s="1" t="s">
        <v>75</v>
      </c>
      <c r="F140" s="1" t="s">
        <v>31</v>
      </c>
      <c r="G140" s="8">
        <v>45452</v>
      </c>
      <c r="H140" s="1">
        <v>45272</v>
      </c>
      <c r="I140" s="1" t="s">
        <v>21</v>
      </c>
      <c r="J140" s="1" t="s">
        <v>37</v>
      </c>
      <c r="K140" s="1" t="s">
        <v>38</v>
      </c>
      <c r="L140" s="1" t="s">
        <v>220</v>
      </c>
      <c r="M140" s="1" t="s">
        <v>25</v>
      </c>
      <c r="N140" s="1" t="s">
        <v>26</v>
      </c>
      <c r="O140" s="1">
        <v>5000</v>
      </c>
      <c r="P140" s="3" t="str">
        <f>IF(Table1[[#This Row],[Designation]]="Line Operator","Line Operator", "Other")</f>
        <v>Line Operator</v>
      </c>
    </row>
    <row r="141" spans="1:16" ht="15.75" customHeight="1" x14ac:dyDescent="0.25">
      <c r="A141" s="1" t="s">
        <v>317</v>
      </c>
      <c r="B141" s="1" t="s">
        <v>318</v>
      </c>
      <c r="C141" s="1" t="s">
        <v>17</v>
      </c>
      <c r="D141" s="1" t="s">
        <v>18</v>
      </c>
      <c r="E141" s="1" t="s">
        <v>75</v>
      </c>
      <c r="F141" s="1" t="s">
        <v>31</v>
      </c>
      <c r="G141" s="8">
        <v>45452</v>
      </c>
      <c r="H141" s="1">
        <v>45272</v>
      </c>
      <c r="I141" s="1" t="s">
        <v>81</v>
      </c>
      <c r="J141" s="1" t="s">
        <v>37</v>
      </c>
      <c r="K141" s="1" t="s">
        <v>58</v>
      </c>
      <c r="L141" s="1" t="s">
        <v>24</v>
      </c>
      <c r="M141" s="1" t="s">
        <v>25</v>
      </c>
      <c r="N141" s="1" t="s">
        <v>26</v>
      </c>
      <c r="O141" s="1">
        <v>5000</v>
      </c>
      <c r="P141" s="3" t="str">
        <f>IF(Table1[[#This Row],[Designation]]="Line Operator","Line Operator", "Other")</f>
        <v>Line Operator</v>
      </c>
    </row>
    <row r="142" spans="1:16" ht="15.75" customHeight="1" x14ac:dyDescent="0.25">
      <c r="A142" s="1" t="s">
        <v>319</v>
      </c>
      <c r="B142" s="1" t="s">
        <v>320</v>
      </c>
      <c r="C142" s="1" t="s">
        <v>44</v>
      </c>
      <c r="D142" s="1" t="s">
        <v>18</v>
      </c>
      <c r="E142" s="1" t="s">
        <v>75</v>
      </c>
      <c r="F142" s="1" t="s">
        <v>31</v>
      </c>
      <c r="G142" s="8">
        <v>45452</v>
      </c>
      <c r="H142" s="1">
        <v>45272</v>
      </c>
      <c r="I142" s="1" t="s">
        <v>81</v>
      </c>
      <c r="J142" s="1" t="s">
        <v>22</v>
      </c>
      <c r="K142" s="1" t="s">
        <v>58</v>
      </c>
      <c r="L142" s="1" t="s">
        <v>24</v>
      </c>
      <c r="M142" s="1" t="s">
        <v>25</v>
      </c>
      <c r="N142" s="1" t="s">
        <v>26</v>
      </c>
      <c r="O142" s="1">
        <v>5000</v>
      </c>
      <c r="P142" s="3" t="str">
        <f>IF(Table1[[#This Row],[Designation]]="Line Operator","Line Operator", "Other")</f>
        <v>Line Operator</v>
      </c>
    </row>
    <row r="143" spans="1:16" ht="15.75" customHeight="1" x14ac:dyDescent="0.25">
      <c r="A143" s="1" t="s">
        <v>321</v>
      </c>
      <c r="B143" s="1" t="s">
        <v>322</v>
      </c>
      <c r="C143" s="1" t="s">
        <v>17</v>
      </c>
      <c r="D143" s="1" t="s">
        <v>18</v>
      </c>
      <c r="E143" s="1" t="s">
        <v>75</v>
      </c>
      <c r="F143" s="1" t="s">
        <v>31</v>
      </c>
      <c r="G143" s="8">
        <v>45452</v>
      </c>
      <c r="H143" s="1">
        <v>45272</v>
      </c>
      <c r="I143" s="1" t="s">
        <v>81</v>
      </c>
      <c r="J143" s="1" t="s">
        <v>37</v>
      </c>
      <c r="K143" s="1" t="s">
        <v>32</v>
      </c>
      <c r="L143" s="1" t="s">
        <v>124</v>
      </c>
      <c r="M143" s="1" t="s">
        <v>47</v>
      </c>
      <c r="N143" s="1" t="s">
        <v>26</v>
      </c>
      <c r="O143" s="1">
        <v>5000</v>
      </c>
      <c r="P143" s="3" t="str">
        <f>IF(Table1[[#This Row],[Designation]]="Line Operator","Line Operator", "Other")</f>
        <v>Line Operator</v>
      </c>
    </row>
    <row r="144" spans="1:16" ht="15.75" customHeight="1" x14ac:dyDescent="0.25">
      <c r="A144" s="1" t="s">
        <v>323</v>
      </c>
      <c r="B144" s="1" t="s">
        <v>324</v>
      </c>
      <c r="C144" s="1" t="s">
        <v>44</v>
      </c>
      <c r="D144" s="1" t="s">
        <v>18</v>
      </c>
      <c r="E144" s="1" t="s">
        <v>75</v>
      </c>
      <c r="F144" s="1" t="s">
        <v>31</v>
      </c>
      <c r="G144" s="8">
        <v>45452</v>
      </c>
      <c r="H144" s="1">
        <v>45272</v>
      </c>
      <c r="I144" s="1" t="s">
        <v>81</v>
      </c>
      <c r="J144" s="1" t="s">
        <v>22</v>
      </c>
      <c r="K144" s="1" t="s">
        <v>32</v>
      </c>
      <c r="L144" s="1" t="s">
        <v>116</v>
      </c>
      <c r="M144" s="1" t="s">
        <v>47</v>
      </c>
      <c r="N144" s="1" t="s">
        <v>26</v>
      </c>
      <c r="O144" s="1">
        <v>5000</v>
      </c>
      <c r="P144" s="3" t="str">
        <f>IF(Table1[[#This Row],[Designation]]="Line Operator","Line Operator", "Other")</f>
        <v>Line Operator</v>
      </c>
    </row>
    <row r="145" spans="1:16" ht="15.75" customHeight="1" x14ac:dyDescent="0.25">
      <c r="A145" s="1" t="s">
        <v>325</v>
      </c>
      <c r="B145" s="1" t="s">
        <v>326</v>
      </c>
      <c r="C145" s="1" t="s">
        <v>44</v>
      </c>
      <c r="D145" s="1" t="s">
        <v>18</v>
      </c>
      <c r="E145" s="1" t="s">
        <v>75</v>
      </c>
      <c r="F145" s="1" t="s">
        <v>31</v>
      </c>
      <c r="G145" s="8">
        <v>45452</v>
      </c>
      <c r="H145" s="1">
        <v>45272</v>
      </c>
      <c r="I145" s="1" t="s">
        <v>81</v>
      </c>
      <c r="J145" s="1" t="s">
        <v>22</v>
      </c>
      <c r="K145" s="1" t="s">
        <v>58</v>
      </c>
      <c r="L145" s="1" t="s">
        <v>96</v>
      </c>
      <c r="M145" s="1" t="s">
        <v>47</v>
      </c>
      <c r="N145" s="1" t="s">
        <v>26</v>
      </c>
      <c r="O145" s="1">
        <v>5000</v>
      </c>
      <c r="P145" s="3" t="str">
        <f>IF(Table1[[#This Row],[Designation]]="Line Operator","Line Operator", "Other")</f>
        <v>Line Operator</v>
      </c>
    </row>
    <row r="146" spans="1:16" ht="15.75" customHeight="1" x14ac:dyDescent="0.25">
      <c r="A146" s="1" t="s">
        <v>327</v>
      </c>
      <c r="B146" s="1" t="s">
        <v>328</v>
      </c>
      <c r="C146" s="1" t="s">
        <v>44</v>
      </c>
      <c r="D146" s="1" t="s">
        <v>18</v>
      </c>
      <c r="E146" s="1" t="s">
        <v>75</v>
      </c>
      <c r="F146" s="1" t="s">
        <v>31</v>
      </c>
      <c r="G146" s="8">
        <v>45452</v>
      </c>
      <c r="H146" s="1">
        <v>45272</v>
      </c>
      <c r="I146" s="1" t="s">
        <v>81</v>
      </c>
      <c r="J146" s="1" t="s">
        <v>22</v>
      </c>
      <c r="K146" s="1" t="s">
        <v>38</v>
      </c>
      <c r="L146" s="1" t="s">
        <v>96</v>
      </c>
      <c r="M146" s="1" t="s">
        <v>47</v>
      </c>
      <c r="N146" s="1" t="s">
        <v>26</v>
      </c>
      <c r="O146" s="1">
        <v>5000</v>
      </c>
      <c r="P146" s="3" t="str">
        <f>IF(Table1[[#This Row],[Designation]]="Line Operator","Line Operator", "Other")</f>
        <v>Line Operator</v>
      </c>
    </row>
    <row r="147" spans="1:16" ht="15.75" customHeight="1" x14ac:dyDescent="0.25">
      <c r="A147" s="1" t="s">
        <v>329</v>
      </c>
      <c r="B147" s="1" t="s">
        <v>330</v>
      </c>
      <c r="C147" s="1" t="s">
        <v>44</v>
      </c>
      <c r="D147" s="1" t="s">
        <v>18</v>
      </c>
      <c r="E147" s="1" t="s">
        <v>75</v>
      </c>
      <c r="F147" s="1" t="s">
        <v>31</v>
      </c>
      <c r="G147" s="8">
        <v>45452</v>
      </c>
      <c r="H147" s="1">
        <v>45272</v>
      </c>
      <c r="I147" s="1" t="s">
        <v>81</v>
      </c>
      <c r="J147" s="1" t="s">
        <v>22</v>
      </c>
      <c r="K147" s="1" t="s">
        <v>32</v>
      </c>
      <c r="L147" s="1" t="s">
        <v>24</v>
      </c>
      <c r="M147" s="1" t="s">
        <v>25</v>
      </c>
      <c r="N147" s="1" t="s">
        <v>26</v>
      </c>
      <c r="O147" s="1">
        <v>5000</v>
      </c>
      <c r="P147" s="3" t="str">
        <f>IF(Table1[[#This Row],[Designation]]="Line Operator","Line Operator", "Other")</f>
        <v>Line Operator</v>
      </c>
    </row>
    <row r="148" spans="1:16" ht="15.75" customHeight="1" x14ac:dyDescent="0.25">
      <c r="A148" s="1" t="s">
        <v>331</v>
      </c>
      <c r="B148" s="1" t="s">
        <v>332</v>
      </c>
      <c r="C148" s="1" t="s">
        <v>17</v>
      </c>
      <c r="D148" s="1" t="s">
        <v>18</v>
      </c>
      <c r="E148" s="1" t="s">
        <v>75</v>
      </c>
      <c r="F148" s="1" t="s">
        <v>31</v>
      </c>
      <c r="G148" s="8">
        <v>45452</v>
      </c>
      <c r="H148" s="1">
        <v>45272</v>
      </c>
      <c r="I148" s="1" t="s">
        <v>21</v>
      </c>
      <c r="J148" s="1" t="s">
        <v>22</v>
      </c>
      <c r="K148" s="1" t="s">
        <v>38</v>
      </c>
      <c r="L148" s="1" t="s">
        <v>24</v>
      </c>
      <c r="M148" s="1" t="s">
        <v>25</v>
      </c>
      <c r="N148" s="1" t="s">
        <v>26</v>
      </c>
      <c r="O148" s="1">
        <v>5000</v>
      </c>
      <c r="P148" s="3" t="str">
        <f>IF(Table1[[#This Row],[Designation]]="Line Operator","Line Operator", "Other")</f>
        <v>Line Operator</v>
      </c>
    </row>
    <row r="149" spans="1:16" ht="15.75" customHeight="1" x14ac:dyDescent="0.25">
      <c r="A149" s="1" t="s">
        <v>333</v>
      </c>
      <c r="B149" s="1" t="s">
        <v>334</v>
      </c>
      <c r="C149" s="1" t="s">
        <v>36</v>
      </c>
      <c r="D149" s="1" t="s">
        <v>18</v>
      </c>
      <c r="E149" s="1" t="s">
        <v>75</v>
      </c>
      <c r="F149" s="1" t="s">
        <v>31</v>
      </c>
      <c r="G149" s="8">
        <v>45452</v>
      </c>
      <c r="H149" s="1">
        <v>45272</v>
      </c>
      <c r="I149" s="1" t="s">
        <v>21</v>
      </c>
      <c r="J149" s="1" t="s">
        <v>22</v>
      </c>
      <c r="K149" s="1" t="s">
        <v>58</v>
      </c>
      <c r="L149" s="1" t="s">
        <v>24</v>
      </c>
      <c r="M149" s="1" t="s">
        <v>25</v>
      </c>
      <c r="N149" s="1" t="s">
        <v>26</v>
      </c>
      <c r="O149" s="1">
        <v>5000</v>
      </c>
      <c r="P149" s="3" t="str">
        <f>IF(Table1[[#This Row],[Designation]]="Line Operator","Line Operator", "Other")</f>
        <v>Line Operator</v>
      </c>
    </row>
    <row r="150" spans="1:16" ht="15.75" customHeight="1" x14ac:dyDescent="0.25">
      <c r="A150" s="1" t="s">
        <v>335</v>
      </c>
      <c r="B150" s="1" t="s">
        <v>336</v>
      </c>
      <c r="C150" s="1" t="s">
        <v>36</v>
      </c>
      <c r="D150" s="1" t="s">
        <v>18</v>
      </c>
      <c r="E150" s="1" t="s">
        <v>75</v>
      </c>
      <c r="F150" s="1" t="s">
        <v>31</v>
      </c>
      <c r="G150" s="8">
        <v>45452</v>
      </c>
      <c r="H150" s="1">
        <v>45272</v>
      </c>
      <c r="I150" s="1" t="s">
        <v>21</v>
      </c>
      <c r="J150" s="1" t="s">
        <v>22</v>
      </c>
      <c r="K150" s="1" t="s">
        <v>23</v>
      </c>
      <c r="L150" s="1" t="s">
        <v>24</v>
      </c>
      <c r="M150" s="1" t="s">
        <v>25</v>
      </c>
      <c r="N150" s="1" t="s">
        <v>26</v>
      </c>
      <c r="O150" s="1">
        <v>5000</v>
      </c>
      <c r="P150" s="3" t="str">
        <f>IF(Table1[[#This Row],[Designation]]="Line Operator","Line Operator", "Other")</f>
        <v>Line Operator</v>
      </c>
    </row>
    <row r="151" spans="1:16" ht="15.75" customHeight="1" x14ac:dyDescent="0.25">
      <c r="A151" s="1" t="s">
        <v>337</v>
      </c>
      <c r="B151" s="1" t="s">
        <v>338</v>
      </c>
      <c r="C151" s="1" t="s">
        <v>36</v>
      </c>
      <c r="D151" s="1" t="s">
        <v>18</v>
      </c>
      <c r="E151" s="1" t="s">
        <v>75</v>
      </c>
      <c r="F151" s="1" t="s">
        <v>31</v>
      </c>
      <c r="G151" s="8">
        <v>45452</v>
      </c>
      <c r="H151" s="1">
        <v>45272</v>
      </c>
      <c r="I151" s="1" t="s">
        <v>21</v>
      </c>
      <c r="J151" s="1" t="s">
        <v>22</v>
      </c>
      <c r="K151" s="1" t="s">
        <v>32</v>
      </c>
      <c r="L151" s="1" t="s">
        <v>24</v>
      </c>
      <c r="M151" s="1" t="s">
        <v>25</v>
      </c>
      <c r="N151" s="1" t="s">
        <v>26</v>
      </c>
      <c r="O151" s="1">
        <v>5000</v>
      </c>
      <c r="P151" s="3" t="str">
        <f>IF(Table1[[#This Row],[Designation]]="Line Operator","Line Operator", "Other")</f>
        <v>Line Operator</v>
      </c>
    </row>
    <row r="152" spans="1:16" ht="15.75" customHeight="1" x14ac:dyDescent="0.25">
      <c r="A152" s="1" t="s">
        <v>339</v>
      </c>
      <c r="B152" s="1" t="s">
        <v>340</v>
      </c>
      <c r="C152" s="1" t="s">
        <v>44</v>
      </c>
      <c r="D152" s="1" t="s">
        <v>18</v>
      </c>
      <c r="E152" s="1" t="s">
        <v>75</v>
      </c>
      <c r="F152" s="1" t="s">
        <v>31</v>
      </c>
      <c r="G152" s="8">
        <v>45452</v>
      </c>
      <c r="H152" s="1">
        <v>45272</v>
      </c>
      <c r="I152" s="1" t="s">
        <v>21</v>
      </c>
      <c r="J152" s="1" t="s">
        <v>22</v>
      </c>
      <c r="K152" s="1" t="s">
        <v>38</v>
      </c>
      <c r="L152" s="1" t="s">
        <v>24</v>
      </c>
      <c r="M152" s="1" t="s">
        <v>25</v>
      </c>
      <c r="N152" s="1" t="s">
        <v>26</v>
      </c>
      <c r="O152" s="1">
        <v>5000</v>
      </c>
      <c r="P152" s="3" t="str">
        <f>IF(Table1[[#This Row],[Designation]]="Line Operator","Line Operator", "Other")</f>
        <v>Line Operator</v>
      </c>
    </row>
    <row r="153" spans="1:16" ht="15.75" customHeight="1" x14ac:dyDescent="0.25">
      <c r="A153" s="1" t="s">
        <v>341</v>
      </c>
      <c r="B153" s="1" t="s">
        <v>342</v>
      </c>
      <c r="C153" s="1" t="s">
        <v>17</v>
      </c>
      <c r="D153" s="1" t="s">
        <v>18</v>
      </c>
      <c r="E153" s="1" t="s">
        <v>75</v>
      </c>
      <c r="F153" s="1" t="s">
        <v>31</v>
      </c>
      <c r="G153" s="8">
        <v>45452</v>
      </c>
      <c r="H153" s="1">
        <v>45272</v>
      </c>
      <c r="I153" s="1" t="s">
        <v>21</v>
      </c>
      <c r="J153" s="1" t="s">
        <v>22</v>
      </c>
      <c r="K153" s="1" t="s">
        <v>38</v>
      </c>
      <c r="L153" s="1" t="s">
        <v>96</v>
      </c>
      <c r="M153" s="1" t="s">
        <v>47</v>
      </c>
      <c r="N153" s="1" t="s">
        <v>26</v>
      </c>
      <c r="O153" s="1">
        <v>5000</v>
      </c>
      <c r="P153" s="3" t="str">
        <f>IF(Table1[[#This Row],[Designation]]="Line Operator","Line Operator", "Other")</f>
        <v>Line Operator</v>
      </c>
    </row>
    <row r="154" spans="1:16" ht="15.75" customHeight="1" x14ac:dyDescent="0.25">
      <c r="A154" s="1" t="s">
        <v>343</v>
      </c>
      <c r="B154" s="1" t="s">
        <v>344</v>
      </c>
      <c r="C154" s="1" t="s">
        <v>205</v>
      </c>
      <c r="D154" s="1" t="s">
        <v>18</v>
      </c>
      <c r="E154" s="1" t="s">
        <v>75</v>
      </c>
      <c r="F154" s="1" t="s">
        <v>31</v>
      </c>
      <c r="G154" s="8">
        <v>45452</v>
      </c>
      <c r="H154" s="1">
        <v>45272</v>
      </c>
      <c r="I154" s="1" t="s">
        <v>21</v>
      </c>
      <c r="J154" s="1" t="s">
        <v>22</v>
      </c>
      <c r="K154" s="1" t="s">
        <v>32</v>
      </c>
      <c r="L154" s="1" t="s">
        <v>290</v>
      </c>
      <c r="M154" s="1" t="s">
        <v>47</v>
      </c>
      <c r="N154" s="1" t="s">
        <v>26</v>
      </c>
      <c r="O154" s="1">
        <v>5000</v>
      </c>
      <c r="P154" s="3" t="str">
        <f>IF(Table1[[#This Row],[Designation]]="Line Operator","Line Operator", "Other")</f>
        <v>Line Operator</v>
      </c>
    </row>
    <row r="155" spans="1:16" ht="15.75" customHeight="1" x14ac:dyDescent="0.25">
      <c r="A155" s="1" t="s">
        <v>345</v>
      </c>
      <c r="B155" s="1" t="s">
        <v>346</v>
      </c>
      <c r="C155" s="1" t="s">
        <v>205</v>
      </c>
      <c r="D155" s="1" t="s">
        <v>18</v>
      </c>
      <c r="E155" s="1" t="s">
        <v>75</v>
      </c>
      <c r="F155" s="1" t="s">
        <v>31</v>
      </c>
      <c r="G155" s="8">
        <v>45452</v>
      </c>
      <c r="H155" s="1">
        <v>45272</v>
      </c>
      <c r="I155" s="1" t="s">
        <v>21</v>
      </c>
      <c r="J155" s="1" t="s">
        <v>22</v>
      </c>
      <c r="K155" s="1" t="s">
        <v>23</v>
      </c>
      <c r="L155" s="1" t="s">
        <v>24</v>
      </c>
      <c r="M155" s="1" t="s">
        <v>25</v>
      </c>
      <c r="N155" s="1" t="s">
        <v>26</v>
      </c>
      <c r="O155" s="1">
        <v>5000</v>
      </c>
      <c r="P155" s="3" t="str">
        <f>IF(Table1[[#This Row],[Designation]]="Line Operator","Line Operator", "Other")</f>
        <v>Line Operator</v>
      </c>
    </row>
    <row r="156" spans="1:16" ht="15.75" customHeight="1" x14ac:dyDescent="0.25">
      <c r="A156" s="1" t="s">
        <v>347</v>
      </c>
      <c r="B156" s="1" t="s">
        <v>348</v>
      </c>
      <c r="C156" s="1" t="s">
        <v>205</v>
      </c>
      <c r="D156" s="1" t="s">
        <v>18</v>
      </c>
      <c r="E156" s="1" t="s">
        <v>75</v>
      </c>
      <c r="F156" s="1" t="s">
        <v>31</v>
      </c>
      <c r="G156" s="8">
        <v>45452</v>
      </c>
      <c r="H156" s="1">
        <v>45272</v>
      </c>
      <c r="I156" s="1" t="s">
        <v>21</v>
      </c>
      <c r="J156" s="1" t="s">
        <v>22</v>
      </c>
      <c r="K156" s="1" t="s">
        <v>38</v>
      </c>
      <c r="L156" s="1" t="s">
        <v>24</v>
      </c>
      <c r="M156" s="1" t="s">
        <v>25</v>
      </c>
      <c r="N156" s="1" t="s">
        <v>26</v>
      </c>
      <c r="O156" s="1">
        <v>5000</v>
      </c>
      <c r="P156" s="3" t="str">
        <f>IF(Table1[[#This Row],[Designation]]="Line Operator","Line Operator", "Other")</f>
        <v>Line Operator</v>
      </c>
    </row>
    <row r="157" spans="1:16" ht="15.75" customHeight="1" x14ac:dyDescent="0.25">
      <c r="A157" s="1" t="s">
        <v>349</v>
      </c>
      <c r="B157" s="1" t="s">
        <v>350</v>
      </c>
      <c r="C157" s="1" t="s">
        <v>205</v>
      </c>
      <c r="D157" s="1" t="s">
        <v>202</v>
      </c>
      <c r="E157" s="1" t="s">
        <v>75</v>
      </c>
      <c r="F157" s="1" t="s">
        <v>31</v>
      </c>
      <c r="G157" s="8">
        <v>45452</v>
      </c>
      <c r="H157" s="1">
        <v>45272</v>
      </c>
      <c r="I157" s="1" t="s">
        <v>21</v>
      </c>
      <c r="J157" s="1" t="s">
        <v>22</v>
      </c>
      <c r="K157" s="1" t="s">
        <v>32</v>
      </c>
      <c r="L157" s="1" t="s">
        <v>24</v>
      </c>
      <c r="M157" s="1" t="s">
        <v>25</v>
      </c>
      <c r="N157" s="1" t="s">
        <v>26</v>
      </c>
      <c r="O157" s="1">
        <v>5000</v>
      </c>
      <c r="P157" s="3" t="str">
        <f>IF(Table1[[#This Row],[Designation]]="Line Operator","Line Operator", "Other")</f>
        <v>Other</v>
      </c>
    </row>
    <row r="158" spans="1:16" ht="15.75" customHeight="1" x14ac:dyDescent="0.25">
      <c r="A158" s="1" t="s">
        <v>351</v>
      </c>
      <c r="B158" s="1" t="s">
        <v>352</v>
      </c>
      <c r="C158" s="1" t="s">
        <v>44</v>
      </c>
      <c r="D158" s="1" t="s">
        <v>18</v>
      </c>
      <c r="E158" s="1" t="s">
        <v>75</v>
      </c>
      <c r="F158" s="1" t="s">
        <v>31</v>
      </c>
      <c r="G158" s="8">
        <v>45452</v>
      </c>
      <c r="H158" s="1">
        <v>45272</v>
      </c>
      <c r="I158" s="1" t="s">
        <v>81</v>
      </c>
      <c r="J158" s="1" t="s">
        <v>22</v>
      </c>
      <c r="K158" s="1" t="s">
        <v>32</v>
      </c>
      <c r="L158" s="1" t="s">
        <v>96</v>
      </c>
      <c r="M158" s="1" t="s">
        <v>47</v>
      </c>
      <c r="N158" s="1" t="s">
        <v>26</v>
      </c>
      <c r="O158" s="1">
        <v>5000</v>
      </c>
      <c r="P158" s="3" t="str">
        <f>IF(Table1[[#This Row],[Designation]]="Line Operator","Line Operator", "Other")</f>
        <v>Line Operator</v>
      </c>
    </row>
    <row r="159" spans="1:16" ht="15.75" customHeight="1" x14ac:dyDescent="0.25">
      <c r="A159" s="1" t="s">
        <v>353</v>
      </c>
      <c r="B159" s="1" t="s">
        <v>354</v>
      </c>
      <c r="C159" s="1" t="s">
        <v>44</v>
      </c>
      <c r="D159" s="1" t="s">
        <v>18</v>
      </c>
      <c r="E159" s="1" t="s">
        <v>75</v>
      </c>
      <c r="F159" s="1" t="s">
        <v>31</v>
      </c>
      <c r="G159" s="8">
        <v>45452</v>
      </c>
      <c r="H159" s="1">
        <v>45272</v>
      </c>
      <c r="I159" s="1" t="s">
        <v>21</v>
      </c>
      <c r="J159" s="1" t="s">
        <v>37</v>
      </c>
      <c r="K159" s="1" t="s">
        <v>58</v>
      </c>
      <c r="L159" s="1" t="s">
        <v>96</v>
      </c>
      <c r="M159" s="1" t="s">
        <v>47</v>
      </c>
      <c r="N159" s="1" t="s">
        <v>26</v>
      </c>
      <c r="O159" s="1">
        <v>5000</v>
      </c>
      <c r="P159" s="3" t="str">
        <f>IF(Table1[[#This Row],[Designation]]="Line Operator","Line Operator", "Other")</f>
        <v>Line Operator</v>
      </c>
    </row>
    <row r="160" spans="1:16" ht="15.75" customHeight="1" x14ac:dyDescent="0.25">
      <c r="A160" s="1" t="s">
        <v>355</v>
      </c>
      <c r="B160" s="1" t="s">
        <v>356</v>
      </c>
      <c r="C160" s="1" t="s">
        <v>36</v>
      </c>
      <c r="D160" s="1" t="s">
        <v>18</v>
      </c>
      <c r="E160" s="1" t="s">
        <v>75</v>
      </c>
      <c r="F160" s="1" t="s">
        <v>31</v>
      </c>
      <c r="G160" s="8">
        <v>45452</v>
      </c>
      <c r="H160" s="1">
        <v>45272</v>
      </c>
      <c r="I160" s="1" t="s">
        <v>21</v>
      </c>
      <c r="J160" s="1" t="s">
        <v>37</v>
      </c>
      <c r="K160" s="1" t="s">
        <v>23</v>
      </c>
      <c r="L160" s="1" t="s">
        <v>24</v>
      </c>
      <c r="M160" s="1" t="s">
        <v>25</v>
      </c>
      <c r="N160" s="1" t="s">
        <v>26</v>
      </c>
      <c r="O160" s="1">
        <v>5000</v>
      </c>
      <c r="P160" s="3" t="str">
        <f>IF(Table1[[#This Row],[Designation]]="Line Operator","Line Operator", "Other")</f>
        <v>Line Operator</v>
      </c>
    </row>
    <row r="161" spans="1:16" ht="15.75" customHeight="1" x14ac:dyDescent="0.25">
      <c r="A161" s="1" t="s">
        <v>357</v>
      </c>
      <c r="B161" s="1" t="s">
        <v>358</v>
      </c>
      <c r="C161" s="1" t="s">
        <v>36</v>
      </c>
      <c r="D161" s="1" t="s">
        <v>18</v>
      </c>
      <c r="E161" s="1" t="s">
        <v>75</v>
      </c>
      <c r="F161" s="1" t="s">
        <v>31</v>
      </c>
      <c r="G161" s="8">
        <v>45452</v>
      </c>
      <c r="H161" s="1">
        <v>45272</v>
      </c>
      <c r="I161" s="1" t="s">
        <v>21</v>
      </c>
      <c r="J161" s="1" t="s">
        <v>22</v>
      </c>
      <c r="K161" s="1" t="s">
        <v>23</v>
      </c>
      <c r="L161" s="1" t="s">
        <v>24</v>
      </c>
      <c r="M161" s="1" t="s">
        <v>25</v>
      </c>
      <c r="N161" s="1" t="s">
        <v>26</v>
      </c>
      <c r="O161" s="1">
        <v>5000</v>
      </c>
      <c r="P161" s="3" t="str">
        <f>IF(Table1[[#This Row],[Designation]]="Line Operator","Line Operator", "Other")</f>
        <v>Line Operator</v>
      </c>
    </row>
    <row r="162" spans="1:16" ht="15.75" customHeight="1" x14ac:dyDescent="0.25">
      <c r="A162" s="1" t="s">
        <v>359</v>
      </c>
      <c r="B162" s="1" t="s">
        <v>360</v>
      </c>
      <c r="C162" s="1" t="s">
        <v>36</v>
      </c>
      <c r="D162" s="1" t="s">
        <v>18</v>
      </c>
      <c r="E162" s="1" t="s">
        <v>75</v>
      </c>
      <c r="F162" s="1" t="s">
        <v>31</v>
      </c>
      <c r="G162" s="8">
        <v>45452</v>
      </c>
      <c r="H162" s="1">
        <v>45272</v>
      </c>
      <c r="I162" s="1" t="s">
        <v>21</v>
      </c>
      <c r="J162" s="1" t="s">
        <v>22</v>
      </c>
      <c r="K162" s="1" t="s">
        <v>32</v>
      </c>
      <c r="L162" s="1" t="s">
        <v>69</v>
      </c>
      <c r="M162" s="1" t="s">
        <v>40</v>
      </c>
      <c r="N162" s="1" t="s">
        <v>26</v>
      </c>
      <c r="O162" s="1">
        <v>5000</v>
      </c>
      <c r="P162" s="3" t="str">
        <f>IF(Table1[[#This Row],[Designation]]="Line Operator","Line Operator", "Other")</f>
        <v>Line Operator</v>
      </c>
    </row>
    <row r="163" spans="1:16" ht="15.75" customHeight="1" x14ac:dyDescent="0.25">
      <c r="A163" s="1" t="s">
        <v>361</v>
      </c>
      <c r="B163" s="1" t="s">
        <v>362</v>
      </c>
      <c r="C163" s="1" t="s">
        <v>44</v>
      </c>
      <c r="D163" s="1" t="s">
        <v>18</v>
      </c>
      <c r="E163" s="1" t="s">
        <v>75</v>
      </c>
      <c r="F163" s="1" t="s">
        <v>31</v>
      </c>
      <c r="G163" s="8">
        <v>45453</v>
      </c>
      <c r="H163" s="1">
        <v>45273</v>
      </c>
      <c r="I163" s="1" t="s">
        <v>21</v>
      </c>
      <c r="J163" s="1" t="s">
        <v>22</v>
      </c>
      <c r="K163" s="1" t="s">
        <v>23</v>
      </c>
      <c r="L163" s="1" t="s">
        <v>69</v>
      </c>
      <c r="M163" s="1" t="s">
        <v>40</v>
      </c>
      <c r="N163" s="1" t="s">
        <v>26</v>
      </c>
      <c r="O163" s="1">
        <v>5000</v>
      </c>
      <c r="P163" s="3" t="str">
        <f>IF(Table1[[#This Row],[Designation]]="Line Operator","Line Operator", "Other")</f>
        <v>Line Operator</v>
      </c>
    </row>
    <row r="164" spans="1:16" ht="15.75" customHeight="1" x14ac:dyDescent="0.25">
      <c r="A164" s="1" t="s">
        <v>363</v>
      </c>
      <c r="B164" s="1" t="s">
        <v>364</v>
      </c>
      <c r="C164" s="1" t="s">
        <v>36</v>
      </c>
      <c r="D164" s="1" t="s">
        <v>18</v>
      </c>
      <c r="E164" s="1" t="s">
        <v>75</v>
      </c>
      <c r="F164" s="1" t="s">
        <v>31</v>
      </c>
      <c r="G164" s="8">
        <v>45453</v>
      </c>
      <c r="H164" s="1">
        <v>45273</v>
      </c>
      <c r="I164" s="1" t="s">
        <v>21</v>
      </c>
      <c r="J164" s="1" t="s">
        <v>22</v>
      </c>
      <c r="K164" s="1" t="s">
        <v>23</v>
      </c>
      <c r="L164" s="1" t="s">
        <v>24</v>
      </c>
      <c r="M164" s="1" t="s">
        <v>25</v>
      </c>
      <c r="N164" s="1" t="s">
        <v>26</v>
      </c>
      <c r="O164" s="1">
        <v>5000</v>
      </c>
      <c r="P164" s="3" t="str">
        <f>IF(Table1[[#This Row],[Designation]]="Line Operator","Line Operator", "Other")</f>
        <v>Line Operator</v>
      </c>
    </row>
    <row r="165" spans="1:16" ht="15.75" customHeight="1" x14ac:dyDescent="0.25">
      <c r="A165" s="1" t="s">
        <v>365</v>
      </c>
      <c r="B165" s="1" t="s">
        <v>366</v>
      </c>
      <c r="C165" s="1" t="s">
        <v>17</v>
      </c>
      <c r="D165" s="1" t="s">
        <v>18</v>
      </c>
      <c r="E165" s="1" t="s">
        <v>75</v>
      </c>
      <c r="F165" s="1" t="s">
        <v>31</v>
      </c>
      <c r="G165" s="8">
        <v>45453</v>
      </c>
      <c r="H165" s="1">
        <v>45273</v>
      </c>
      <c r="I165" s="1" t="s">
        <v>21</v>
      </c>
      <c r="J165" s="1" t="s">
        <v>22</v>
      </c>
      <c r="K165" s="1" t="s">
        <v>23</v>
      </c>
      <c r="L165" s="1" t="s">
        <v>225</v>
      </c>
      <c r="M165" s="1" t="s">
        <v>47</v>
      </c>
      <c r="N165" s="1" t="s">
        <v>26</v>
      </c>
      <c r="O165" s="1">
        <v>5000</v>
      </c>
      <c r="P165" s="3" t="str">
        <f>IF(Table1[[#This Row],[Designation]]="Line Operator","Line Operator", "Other")</f>
        <v>Line Operator</v>
      </c>
    </row>
    <row r="166" spans="1:16" ht="15.75" customHeight="1" x14ac:dyDescent="0.25">
      <c r="A166" s="1" t="s">
        <v>367</v>
      </c>
      <c r="B166" s="1" t="s">
        <v>209</v>
      </c>
      <c r="C166" s="1" t="s">
        <v>17</v>
      </c>
      <c r="D166" s="1" t="s">
        <v>18</v>
      </c>
      <c r="E166" s="1" t="s">
        <v>75</v>
      </c>
      <c r="F166" s="1" t="s">
        <v>31</v>
      </c>
      <c r="G166" s="8">
        <v>45453</v>
      </c>
      <c r="H166" s="1">
        <v>45273</v>
      </c>
      <c r="I166" s="1" t="s">
        <v>21</v>
      </c>
      <c r="J166" s="1" t="s">
        <v>22</v>
      </c>
      <c r="K166" s="1" t="s">
        <v>38</v>
      </c>
      <c r="L166" s="1" t="s">
        <v>282</v>
      </c>
      <c r="M166" s="1" t="s">
        <v>283</v>
      </c>
      <c r="N166" s="1" t="s">
        <v>26</v>
      </c>
      <c r="O166" s="1">
        <v>5000</v>
      </c>
      <c r="P166" s="3" t="str">
        <f>IF(Table1[[#This Row],[Designation]]="Line Operator","Line Operator", "Other")</f>
        <v>Line Operator</v>
      </c>
    </row>
    <row r="167" spans="1:16" ht="15.75" customHeight="1" x14ac:dyDescent="0.25">
      <c r="A167" s="1" t="s">
        <v>368</v>
      </c>
      <c r="B167" s="1" t="s">
        <v>369</v>
      </c>
      <c r="C167" s="1" t="s">
        <v>17</v>
      </c>
      <c r="D167" s="1" t="s">
        <v>18</v>
      </c>
      <c r="E167" s="1" t="s">
        <v>75</v>
      </c>
      <c r="F167" s="1" t="s">
        <v>31</v>
      </c>
      <c r="G167" s="8">
        <v>45453</v>
      </c>
      <c r="H167" s="1">
        <v>45273</v>
      </c>
      <c r="I167" s="1" t="s">
        <v>21</v>
      </c>
      <c r="J167" s="1" t="s">
        <v>22</v>
      </c>
      <c r="K167" s="1" t="s">
        <v>115</v>
      </c>
      <c r="L167" s="1" t="s">
        <v>24</v>
      </c>
      <c r="M167" s="1" t="s">
        <v>25</v>
      </c>
      <c r="N167" s="1" t="s">
        <v>26</v>
      </c>
      <c r="O167" s="1">
        <v>5000</v>
      </c>
      <c r="P167" s="3" t="str">
        <f>IF(Table1[[#This Row],[Designation]]="Line Operator","Line Operator", "Other")</f>
        <v>Line Operator</v>
      </c>
    </row>
    <row r="168" spans="1:16" ht="15.75" customHeight="1" x14ac:dyDescent="0.25">
      <c r="A168" s="1" t="s">
        <v>370</v>
      </c>
      <c r="B168" s="1" t="s">
        <v>371</v>
      </c>
      <c r="C168" s="1" t="s">
        <v>36</v>
      </c>
      <c r="D168" s="1" t="s">
        <v>18</v>
      </c>
      <c r="E168" s="1" t="s">
        <v>75</v>
      </c>
      <c r="F168" s="1" t="s">
        <v>31</v>
      </c>
      <c r="G168" s="8">
        <v>45453</v>
      </c>
      <c r="H168" s="1">
        <v>45273</v>
      </c>
      <c r="I168" s="1" t="s">
        <v>21</v>
      </c>
      <c r="J168" s="1" t="s">
        <v>37</v>
      </c>
      <c r="K168" s="1" t="s">
        <v>148</v>
      </c>
      <c r="L168" s="1" t="s">
        <v>24</v>
      </c>
      <c r="M168" s="1" t="s">
        <v>25</v>
      </c>
      <c r="N168" s="1" t="s">
        <v>26</v>
      </c>
      <c r="O168" s="1">
        <v>5000</v>
      </c>
      <c r="P168" s="3" t="str">
        <f>IF(Table1[[#This Row],[Designation]]="Line Operator","Line Operator", "Other")</f>
        <v>Line Operator</v>
      </c>
    </row>
    <row r="169" spans="1:16" ht="15.75" customHeight="1" x14ac:dyDescent="0.25">
      <c r="A169" s="1" t="s">
        <v>372</v>
      </c>
      <c r="B169" s="1" t="s">
        <v>373</v>
      </c>
      <c r="C169" s="1" t="s">
        <v>36</v>
      </c>
      <c r="D169" s="1" t="s">
        <v>18</v>
      </c>
      <c r="E169" s="1" t="s">
        <v>75</v>
      </c>
      <c r="F169" s="1" t="s">
        <v>31</v>
      </c>
      <c r="G169" s="8">
        <v>45453</v>
      </c>
      <c r="H169" s="1">
        <v>45273</v>
      </c>
      <c r="I169" s="1" t="s">
        <v>81</v>
      </c>
      <c r="J169" s="1" t="s">
        <v>37</v>
      </c>
      <c r="K169" s="1" t="s">
        <v>141</v>
      </c>
      <c r="L169" s="1" t="s">
        <v>24</v>
      </c>
      <c r="M169" s="1" t="s">
        <v>25</v>
      </c>
      <c r="N169" s="1" t="s">
        <v>26</v>
      </c>
      <c r="O169" s="1">
        <v>5000</v>
      </c>
      <c r="P169" s="3" t="str">
        <f>IF(Table1[[#This Row],[Designation]]="Line Operator","Line Operator", "Other")</f>
        <v>Line Operator</v>
      </c>
    </row>
    <row r="170" spans="1:16" ht="15.75" customHeight="1" x14ac:dyDescent="0.25">
      <c r="A170" s="1" t="s">
        <v>374</v>
      </c>
      <c r="B170" s="1" t="s">
        <v>375</v>
      </c>
      <c r="C170" s="1" t="s">
        <v>17</v>
      </c>
      <c r="D170" s="1" t="s">
        <v>18</v>
      </c>
      <c r="E170" s="1" t="s">
        <v>75</v>
      </c>
      <c r="F170" s="1" t="s">
        <v>31</v>
      </c>
      <c r="G170" s="8">
        <v>45453</v>
      </c>
      <c r="H170" s="1">
        <v>45273</v>
      </c>
      <c r="I170" s="1" t="s">
        <v>81</v>
      </c>
      <c r="J170" s="1" t="s">
        <v>22</v>
      </c>
      <c r="K170" s="1" t="s">
        <v>32</v>
      </c>
      <c r="L170" s="1" t="s">
        <v>225</v>
      </c>
      <c r="M170" s="1" t="s">
        <v>47</v>
      </c>
      <c r="N170" s="1" t="s">
        <v>26</v>
      </c>
      <c r="O170" s="1">
        <v>5000</v>
      </c>
      <c r="P170" s="3" t="str">
        <f>IF(Table1[[#This Row],[Designation]]="Line Operator","Line Operator", "Other")</f>
        <v>Line Operator</v>
      </c>
    </row>
    <row r="171" spans="1:16" ht="15.75" customHeight="1" x14ac:dyDescent="0.25">
      <c r="A171" s="1" t="s">
        <v>376</v>
      </c>
      <c r="B171" s="1" t="s">
        <v>377</v>
      </c>
      <c r="C171" s="1" t="s">
        <v>17</v>
      </c>
      <c r="D171" s="1" t="s">
        <v>18</v>
      </c>
      <c r="E171" s="1" t="s">
        <v>75</v>
      </c>
      <c r="F171" s="1" t="s">
        <v>31</v>
      </c>
      <c r="G171" s="8">
        <v>45453</v>
      </c>
      <c r="H171" s="1">
        <v>45273</v>
      </c>
      <c r="I171" s="1" t="s">
        <v>81</v>
      </c>
      <c r="J171" s="1" t="s">
        <v>22</v>
      </c>
      <c r="K171" s="1" t="s">
        <v>32</v>
      </c>
      <c r="L171" s="1" t="s">
        <v>96</v>
      </c>
      <c r="M171" s="1" t="s">
        <v>47</v>
      </c>
      <c r="N171" s="1" t="s">
        <v>26</v>
      </c>
      <c r="O171" s="1">
        <v>5000</v>
      </c>
      <c r="P171" s="3" t="str">
        <f>IF(Table1[[#This Row],[Designation]]="Line Operator","Line Operator", "Other")</f>
        <v>Line Operator</v>
      </c>
    </row>
    <row r="172" spans="1:16" ht="15.75" customHeight="1" x14ac:dyDescent="0.25">
      <c r="A172" s="1" t="s">
        <v>378</v>
      </c>
      <c r="B172" s="1" t="s">
        <v>379</v>
      </c>
      <c r="C172" s="1" t="s">
        <v>44</v>
      </c>
      <c r="D172" s="1" t="s">
        <v>18</v>
      </c>
      <c r="E172" s="1" t="s">
        <v>75</v>
      </c>
      <c r="F172" s="1" t="s">
        <v>31</v>
      </c>
      <c r="G172" s="8">
        <v>45453</v>
      </c>
      <c r="H172" s="1">
        <v>45273</v>
      </c>
      <c r="I172" s="1" t="s">
        <v>81</v>
      </c>
      <c r="J172" s="1" t="s">
        <v>22</v>
      </c>
      <c r="K172" s="1" t="s">
        <v>38</v>
      </c>
      <c r="L172" s="1" t="s">
        <v>220</v>
      </c>
      <c r="M172" s="1" t="s">
        <v>25</v>
      </c>
      <c r="N172" s="1" t="s">
        <v>26</v>
      </c>
      <c r="O172" s="1">
        <v>5000</v>
      </c>
      <c r="P172" s="3" t="str">
        <f>IF(Table1[[#This Row],[Designation]]="Line Operator","Line Operator", "Other")</f>
        <v>Line Operator</v>
      </c>
    </row>
    <row r="173" spans="1:16" ht="15.75" customHeight="1" x14ac:dyDescent="0.25">
      <c r="A173" s="1" t="s">
        <v>380</v>
      </c>
      <c r="B173" s="1" t="s">
        <v>381</v>
      </c>
      <c r="C173" s="1" t="s">
        <v>36</v>
      </c>
      <c r="D173" s="1" t="s">
        <v>18</v>
      </c>
      <c r="E173" s="1" t="s">
        <v>75</v>
      </c>
      <c r="F173" s="1" t="s">
        <v>31</v>
      </c>
      <c r="G173" s="8">
        <v>45453</v>
      </c>
      <c r="H173" s="1">
        <v>45273</v>
      </c>
      <c r="I173" s="1" t="s">
        <v>81</v>
      </c>
      <c r="J173" s="1" t="s">
        <v>22</v>
      </c>
      <c r="K173" s="1" t="s">
        <v>38</v>
      </c>
      <c r="L173" s="1" t="s">
        <v>96</v>
      </c>
      <c r="M173" s="1" t="s">
        <v>47</v>
      </c>
      <c r="N173" s="1" t="s">
        <v>26</v>
      </c>
      <c r="O173" s="1">
        <v>5000</v>
      </c>
      <c r="P173" s="3" t="str">
        <f>IF(Table1[[#This Row],[Designation]]="Line Operator","Line Operator", "Other")</f>
        <v>Line Operator</v>
      </c>
    </row>
    <row r="174" spans="1:16" ht="15.75" customHeight="1" x14ac:dyDescent="0.25">
      <c r="A174" s="1" t="s">
        <v>382</v>
      </c>
      <c r="B174" s="1" t="s">
        <v>383</v>
      </c>
      <c r="C174" s="1" t="s">
        <v>36</v>
      </c>
      <c r="D174" s="1" t="s">
        <v>18</v>
      </c>
      <c r="E174" s="1" t="s">
        <v>75</v>
      </c>
      <c r="F174" s="1" t="s">
        <v>31</v>
      </c>
      <c r="G174" s="8">
        <v>45453</v>
      </c>
      <c r="H174" s="1">
        <v>45273</v>
      </c>
      <c r="I174" s="1" t="s">
        <v>81</v>
      </c>
      <c r="J174" s="1" t="s">
        <v>22</v>
      </c>
      <c r="K174" s="1" t="s">
        <v>38</v>
      </c>
      <c r="L174" s="1" t="s">
        <v>220</v>
      </c>
      <c r="M174" s="1" t="s">
        <v>25</v>
      </c>
      <c r="N174" s="1" t="s">
        <v>26</v>
      </c>
      <c r="O174" s="1">
        <v>5000</v>
      </c>
      <c r="P174" s="3" t="str">
        <f>IF(Table1[[#This Row],[Designation]]="Line Operator","Line Operator", "Other")</f>
        <v>Line Operator</v>
      </c>
    </row>
    <row r="175" spans="1:16" ht="15.75" customHeight="1" x14ac:dyDescent="0.25">
      <c r="A175" s="1" t="s">
        <v>384</v>
      </c>
      <c r="B175" s="1" t="s">
        <v>385</v>
      </c>
      <c r="C175" s="1" t="s">
        <v>205</v>
      </c>
      <c r="D175" s="1" t="s">
        <v>18</v>
      </c>
      <c r="E175" s="1" t="s">
        <v>75</v>
      </c>
      <c r="F175" s="1" t="s">
        <v>31</v>
      </c>
      <c r="G175" s="8">
        <v>45453</v>
      </c>
      <c r="H175" s="1">
        <v>45273</v>
      </c>
      <c r="I175" s="1" t="s">
        <v>21</v>
      </c>
      <c r="J175" s="1" t="s">
        <v>22</v>
      </c>
      <c r="K175" s="1" t="s">
        <v>38</v>
      </c>
      <c r="L175" s="1" t="s">
        <v>24</v>
      </c>
      <c r="M175" s="1" t="s">
        <v>25</v>
      </c>
      <c r="N175" s="1" t="s">
        <v>26</v>
      </c>
      <c r="O175" s="1">
        <v>5000</v>
      </c>
      <c r="P175" s="3" t="str">
        <f>IF(Table1[[#This Row],[Designation]]="Line Operator","Line Operator", "Other")</f>
        <v>Line Operator</v>
      </c>
    </row>
    <row r="176" spans="1:16" ht="15.75" customHeight="1" x14ac:dyDescent="0.25">
      <c r="A176" s="1" t="s">
        <v>386</v>
      </c>
      <c r="B176" s="1" t="s">
        <v>387</v>
      </c>
      <c r="C176" s="1" t="s">
        <v>17</v>
      </c>
      <c r="D176" s="1" t="s">
        <v>18</v>
      </c>
      <c r="E176" s="1" t="s">
        <v>75</v>
      </c>
      <c r="F176" s="1" t="s">
        <v>31</v>
      </c>
      <c r="G176" s="8">
        <v>45453</v>
      </c>
      <c r="H176" s="1">
        <v>45273</v>
      </c>
      <c r="I176" s="1" t="s">
        <v>21</v>
      </c>
      <c r="J176" s="1" t="s">
        <v>22</v>
      </c>
      <c r="K176" s="1" t="s">
        <v>32</v>
      </c>
      <c r="L176" s="1" t="s">
        <v>96</v>
      </c>
      <c r="M176" s="1" t="s">
        <v>47</v>
      </c>
      <c r="N176" s="1" t="s">
        <v>26</v>
      </c>
      <c r="O176" s="1">
        <v>5000</v>
      </c>
      <c r="P176" s="3" t="str">
        <f>IF(Table1[[#This Row],[Designation]]="Line Operator","Line Operator", "Other")</f>
        <v>Line Operator</v>
      </c>
    </row>
    <row r="177" spans="1:16" ht="15.75" customHeight="1" x14ac:dyDescent="0.25">
      <c r="A177" s="1" t="s">
        <v>388</v>
      </c>
      <c r="B177" s="1" t="s">
        <v>389</v>
      </c>
      <c r="C177" s="1" t="s">
        <v>36</v>
      </c>
      <c r="D177" s="1" t="s">
        <v>18</v>
      </c>
      <c r="E177" s="1" t="s">
        <v>75</v>
      </c>
      <c r="F177" s="1" t="s">
        <v>31</v>
      </c>
      <c r="G177" s="8">
        <v>45453</v>
      </c>
      <c r="H177" s="1">
        <v>45273</v>
      </c>
      <c r="I177" s="1" t="s">
        <v>81</v>
      </c>
      <c r="J177" s="1" t="s">
        <v>37</v>
      </c>
      <c r="K177" s="1" t="s">
        <v>23</v>
      </c>
      <c r="L177" s="1" t="s">
        <v>24</v>
      </c>
      <c r="M177" s="1" t="s">
        <v>25</v>
      </c>
      <c r="N177" s="1" t="s">
        <v>26</v>
      </c>
      <c r="O177" s="1">
        <v>5000</v>
      </c>
      <c r="P177" s="3" t="str">
        <f>IF(Table1[[#This Row],[Designation]]="Line Operator","Line Operator", "Other")</f>
        <v>Line Operator</v>
      </c>
    </row>
    <row r="178" spans="1:16" ht="15.75" customHeight="1" x14ac:dyDescent="0.25">
      <c r="A178" s="1" t="s">
        <v>390</v>
      </c>
      <c r="B178" s="1" t="s">
        <v>391</v>
      </c>
      <c r="C178" s="1" t="s">
        <v>36</v>
      </c>
      <c r="D178" s="1" t="s">
        <v>18</v>
      </c>
      <c r="E178" s="1" t="s">
        <v>75</v>
      </c>
      <c r="F178" s="1" t="s">
        <v>31</v>
      </c>
      <c r="G178" s="8">
        <v>45453</v>
      </c>
      <c r="H178" s="1">
        <v>45273</v>
      </c>
      <c r="I178" s="1" t="s">
        <v>81</v>
      </c>
      <c r="J178" s="1" t="s">
        <v>22</v>
      </c>
      <c r="K178" s="1" t="s">
        <v>23</v>
      </c>
      <c r="L178" s="1" t="s">
        <v>119</v>
      </c>
      <c r="M178" s="1" t="s">
        <v>25</v>
      </c>
      <c r="N178" s="1" t="s">
        <v>26</v>
      </c>
      <c r="O178" s="1">
        <v>5000</v>
      </c>
      <c r="P178" s="3" t="str">
        <f>IF(Table1[[#This Row],[Designation]]="Line Operator","Line Operator", "Other")</f>
        <v>Line Operator</v>
      </c>
    </row>
    <row r="179" spans="1:16" ht="15.75" customHeight="1" x14ac:dyDescent="0.25">
      <c r="A179" s="1" t="s">
        <v>392</v>
      </c>
      <c r="B179" s="1" t="s">
        <v>393</v>
      </c>
      <c r="C179" s="1" t="s">
        <v>44</v>
      </c>
      <c r="D179" s="1" t="s">
        <v>18</v>
      </c>
      <c r="E179" s="1" t="s">
        <v>75</v>
      </c>
      <c r="F179" s="1" t="s">
        <v>31</v>
      </c>
      <c r="G179" s="8">
        <v>45454</v>
      </c>
      <c r="H179" s="1">
        <v>45274</v>
      </c>
      <c r="I179" s="1" t="s">
        <v>81</v>
      </c>
      <c r="J179" s="1" t="s">
        <v>37</v>
      </c>
      <c r="K179" s="1" t="s">
        <v>115</v>
      </c>
      <c r="L179" s="1" t="s">
        <v>191</v>
      </c>
      <c r="M179" s="1" t="s">
        <v>40</v>
      </c>
      <c r="N179" s="1" t="s">
        <v>26</v>
      </c>
      <c r="O179" s="1">
        <v>5000</v>
      </c>
      <c r="P179" s="3" t="str">
        <f>IF(Table1[[#This Row],[Designation]]="Line Operator","Line Operator", "Other")</f>
        <v>Line Operator</v>
      </c>
    </row>
    <row r="180" spans="1:16" ht="15.75" customHeight="1" x14ac:dyDescent="0.25">
      <c r="A180" s="1" t="s">
        <v>394</v>
      </c>
      <c r="B180" s="1" t="s">
        <v>395</v>
      </c>
      <c r="C180" s="1" t="s">
        <v>44</v>
      </c>
      <c r="D180" s="1" t="s">
        <v>18</v>
      </c>
      <c r="E180" s="1" t="s">
        <v>75</v>
      </c>
      <c r="F180" s="1" t="s">
        <v>31</v>
      </c>
      <c r="G180" s="8">
        <v>45454</v>
      </c>
      <c r="H180" s="1">
        <v>45274</v>
      </c>
      <c r="I180" s="1" t="s">
        <v>21</v>
      </c>
      <c r="J180" s="1" t="s">
        <v>22</v>
      </c>
      <c r="K180" s="1" t="s">
        <v>23</v>
      </c>
      <c r="L180" s="1" t="s">
        <v>96</v>
      </c>
      <c r="M180" s="1" t="s">
        <v>47</v>
      </c>
      <c r="N180" s="1" t="s">
        <v>26</v>
      </c>
      <c r="O180" s="1">
        <v>5000</v>
      </c>
      <c r="P180" s="3" t="str">
        <f>IF(Table1[[#This Row],[Designation]]="Line Operator","Line Operator", "Other")</f>
        <v>Line Operator</v>
      </c>
    </row>
    <row r="181" spans="1:16" ht="15.75" customHeight="1" x14ac:dyDescent="0.25">
      <c r="A181" s="1" t="s">
        <v>396</v>
      </c>
      <c r="B181" s="1" t="s">
        <v>397</v>
      </c>
      <c r="C181" s="1" t="s">
        <v>17</v>
      </c>
      <c r="D181" s="1" t="s">
        <v>18</v>
      </c>
      <c r="E181" s="1" t="s">
        <v>75</v>
      </c>
      <c r="F181" s="1" t="s">
        <v>31</v>
      </c>
      <c r="G181" s="8">
        <v>45454</v>
      </c>
      <c r="H181" s="1">
        <v>45274</v>
      </c>
      <c r="I181" s="1" t="s">
        <v>21</v>
      </c>
      <c r="J181" s="1" t="s">
        <v>22</v>
      </c>
      <c r="K181" s="1" t="s">
        <v>23</v>
      </c>
      <c r="L181" s="1" t="s">
        <v>220</v>
      </c>
      <c r="M181" s="1" t="s">
        <v>25</v>
      </c>
      <c r="N181" s="1" t="s">
        <v>26</v>
      </c>
      <c r="O181" s="1">
        <v>5000</v>
      </c>
      <c r="P181" s="3" t="str">
        <f>IF(Table1[[#This Row],[Designation]]="Line Operator","Line Operator", "Other")</f>
        <v>Line Operator</v>
      </c>
    </row>
    <row r="182" spans="1:16" ht="15.75" customHeight="1" x14ac:dyDescent="0.25">
      <c r="A182" s="1" t="s">
        <v>398</v>
      </c>
      <c r="B182" s="1" t="s">
        <v>399</v>
      </c>
      <c r="C182" s="1" t="s">
        <v>17</v>
      </c>
      <c r="D182" s="1" t="s">
        <v>18</v>
      </c>
      <c r="E182" s="1" t="s">
        <v>75</v>
      </c>
      <c r="F182" s="1" t="s">
        <v>31</v>
      </c>
      <c r="G182" s="8">
        <v>45454</v>
      </c>
      <c r="H182" s="1">
        <v>45274</v>
      </c>
      <c r="I182" s="1" t="s">
        <v>21</v>
      </c>
      <c r="J182" s="1" t="s">
        <v>22</v>
      </c>
      <c r="K182" s="1" t="s">
        <v>32</v>
      </c>
      <c r="L182" s="1" t="s">
        <v>24</v>
      </c>
      <c r="M182" s="1" t="s">
        <v>25</v>
      </c>
      <c r="N182" s="1" t="s">
        <v>26</v>
      </c>
      <c r="O182" s="1">
        <v>5000</v>
      </c>
      <c r="P182" s="3" t="str">
        <f>IF(Table1[[#This Row],[Designation]]="Line Operator","Line Operator", "Other")</f>
        <v>Line Operator</v>
      </c>
    </row>
    <row r="183" spans="1:16" ht="15.75" customHeight="1" x14ac:dyDescent="0.25">
      <c r="A183" s="1" t="s">
        <v>400</v>
      </c>
      <c r="B183" s="1" t="s">
        <v>401</v>
      </c>
      <c r="C183" s="1" t="s">
        <v>36</v>
      </c>
      <c r="D183" s="1" t="s">
        <v>199</v>
      </c>
      <c r="E183" s="1" t="s">
        <v>75</v>
      </c>
      <c r="F183" s="1" t="s">
        <v>31</v>
      </c>
      <c r="G183" s="8">
        <v>45454</v>
      </c>
      <c r="H183" s="1">
        <v>45274</v>
      </c>
      <c r="I183" s="1" t="s">
        <v>21</v>
      </c>
      <c r="J183" s="1" t="s">
        <v>22</v>
      </c>
      <c r="K183" s="1" t="s">
        <v>32</v>
      </c>
      <c r="L183" s="1" t="s">
        <v>24</v>
      </c>
      <c r="M183" s="1" t="s">
        <v>25</v>
      </c>
      <c r="N183" s="1" t="s">
        <v>26</v>
      </c>
      <c r="O183" s="1">
        <v>5000</v>
      </c>
      <c r="P183" s="3" t="str">
        <f>IF(Table1[[#This Row],[Designation]]="Line Operator","Line Operator", "Other")</f>
        <v>Other</v>
      </c>
    </row>
    <row r="184" spans="1:16" ht="15.75" customHeight="1" x14ac:dyDescent="0.25">
      <c r="A184" s="1" t="s">
        <v>402</v>
      </c>
      <c r="B184" s="1" t="s">
        <v>403</v>
      </c>
      <c r="C184" s="1" t="s">
        <v>36</v>
      </c>
      <c r="D184" s="1" t="s">
        <v>18</v>
      </c>
      <c r="E184" s="1" t="s">
        <v>75</v>
      </c>
      <c r="F184" s="1" t="s">
        <v>31</v>
      </c>
      <c r="G184" s="8">
        <v>45454</v>
      </c>
      <c r="H184" s="1">
        <v>45274</v>
      </c>
      <c r="I184" s="1" t="s">
        <v>21</v>
      </c>
      <c r="J184" s="1" t="s">
        <v>22</v>
      </c>
      <c r="K184" s="1" t="s">
        <v>23</v>
      </c>
      <c r="L184" s="1" t="s">
        <v>24</v>
      </c>
      <c r="M184" s="1" t="s">
        <v>25</v>
      </c>
      <c r="N184" s="1" t="s">
        <v>26</v>
      </c>
      <c r="O184" s="1">
        <v>5000</v>
      </c>
      <c r="P184" s="3" t="str">
        <f>IF(Table1[[#This Row],[Designation]]="Line Operator","Line Operator", "Other")</f>
        <v>Line Operator</v>
      </c>
    </row>
    <row r="185" spans="1:16" ht="15.75" customHeight="1" x14ac:dyDescent="0.25">
      <c r="A185" s="1" t="s">
        <v>404</v>
      </c>
      <c r="B185" s="1" t="s">
        <v>405</v>
      </c>
      <c r="C185" s="1" t="s">
        <v>205</v>
      </c>
      <c r="D185" s="1" t="s">
        <v>169</v>
      </c>
      <c r="E185" s="1" t="s">
        <v>30</v>
      </c>
      <c r="F185" s="1" t="s">
        <v>31</v>
      </c>
      <c r="G185" s="8">
        <v>45457</v>
      </c>
      <c r="H185" s="1">
        <v>45277</v>
      </c>
      <c r="I185" s="1" t="s">
        <v>21</v>
      </c>
      <c r="J185" s="1" t="s">
        <v>37</v>
      </c>
      <c r="K185" s="1" t="s">
        <v>32</v>
      </c>
      <c r="L185" s="1" t="s">
        <v>24</v>
      </c>
      <c r="M185" s="1" t="s">
        <v>25</v>
      </c>
      <c r="N185" s="1" t="s">
        <v>26</v>
      </c>
      <c r="O185" s="1">
        <v>5000</v>
      </c>
      <c r="P185" s="3" t="str">
        <f>IF(Table1[[#This Row],[Designation]]="Line Operator","Line Operator", "Other")</f>
        <v>Other</v>
      </c>
    </row>
    <row r="186" spans="1:16" ht="15.75" customHeight="1" x14ac:dyDescent="0.25">
      <c r="A186" s="1" t="s">
        <v>406</v>
      </c>
      <c r="B186" s="1" t="s">
        <v>407</v>
      </c>
      <c r="C186" s="1" t="s">
        <v>36</v>
      </c>
      <c r="D186" s="1" t="s">
        <v>18</v>
      </c>
      <c r="E186" s="1" t="s">
        <v>75</v>
      </c>
      <c r="F186" s="1" t="s">
        <v>31</v>
      </c>
      <c r="G186" s="8">
        <v>45457</v>
      </c>
      <c r="H186" s="1">
        <v>45277</v>
      </c>
      <c r="I186" s="1" t="s">
        <v>81</v>
      </c>
      <c r="J186" s="1" t="s">
        <v>22</v>
      </c>
      <c r="K186" s="1" t="s">
        <v>32</v>
      </c>
      <c r="L186" s="1" t="s">
        <v>24</v>
      </c>
      <c r="M186" s="1" t="s">
        <v>25</v>
      </c>
      <c r="N186" s="1" t="s">
        <v>26</v>
      </c>
      <c r="O186" s="1">
        <v>5000</v>
      </c>
      <c r="P186" s="3" t="str">
        <f>IF(Table1[[#This Row],[Designation]]="Line Operator","Line Operator", "Other")</f>
        <v>Line Operator</v>
      </c>
    </row>
    <row r="187" spans="1:16" ht="15.75" customHeight="1" x14ac:dyDescent="0.25">
      <c r="A187" s="1" t="s">
        <v>408</v>
      </c>
      <c r="B187" s="1" t="s">
        <v>409</v>
      </c>
      <c r="C187" s="1" t="s">
        <v>44</v>
      </c>
      <c r="D187" s="1" t="s">
        <v>18</v>
      </c>
      <c r="E187" s="1" t="s">
        <v>75</v>
      </c>
      <c r="F187" s="1" t="s">
        <v>31</v>
      </c>
      <c r="G187" s="8">
        <v>45457</v>
      </c>
      <c r="H187" s="1">
        <v>45277</v>
      </c>
      <c r="I187" s="1" t="s">
        <v>81</v>
      </c>
      <c r="J187" s="1" t="s">
        <v>22</v>
      </c>
      <c r="K187" s="1" t="s">
        <v>32</v>
      </c>
      <c r="L187" s="1" t="s">
        <v>24</v>
      </c>
      <c r="M187" s="1" t="s">
        <v>25</v>
      </c>
      <c r="N187" s="1" t="s">
        <v>26</v>
      </c>
      <c r="O187" s="1">
        <v>5000</v>
      </c>
      <c r="P187" s="3" t="str">
        <f>IF(Table1[[#This Row],[Designation]]="Line Operator","Line Operator", "Other")</f>
        <v>Line Operator</v>
      </c>
    </row>
    <row r="188" spans="1:16" ht="15.75" customHeight="1" x14ac:dyDescent="0.25">
      <c r="A188" s="1" t="s">
        <v>410</v>
      </c>
      <c r="B188" s="1" t="s">
        <v>411</v>
      </c>
      <c r="C188" s="1" t="s">
        <v>36</v>
      </c>
      <c r="D188" s="1" t="s">
        <v>18</v>
      </c>
      <c r="E188" s="1" t="s">
        <v>75</v>
      </c>
      <c r="F188" s="1" t="s">
        <v>31</v>
      </c>
      <c r="G188" s="8">
        <v>45457</v>
      </c>
      <c r="H188" s="1">
        <v>45277</v>
      </c>
      <c r="I188" s="1" t="s">
        <v>81</v>
      </c>
      <c r="J188" s="1" t="s">
        <v>22</v>
      </c>
      <c r="K188" s="1" t="s">
        <v>32</v>
      </c>
      <c r="L188" s="1" t="s">
        <v>24</v>
      </c>
      <c r="M188" s="1" t="s">
        <v>25</v>
      </c>
      <c r="N188" s="1" t="s">
        <v>26</v>
      </c>
      <c r="O188" s="1">
        <v>5000</v>
      </c>
      <c r="P188" s="3" t="str">
        <f>IF(Table1[[#This Row],[Designation]]="Line Operator","Line Operator", "Other")</f>
        <v>Line Operator</v>
      </c>
    </row>
    <row r="189" spans="1:16" ht="15.75" customHeight="1" x14ac:dyDescent="0.25">
      <c r="A189" s="1" t="s">
        <v>412</v>
      </c>
      <c r="B189" s="1" t="s">
        <v>314</v>
      </c>
      <c r="C189" s="1" t="s">
        <v>44</v>
      </c>
      <c r="D189" s="1" t="s">
        <v>18</v>
      </c>
      <c r="E189" s="1" t="s">
        <v>75</v>
      </c>
      <c r="F189" s="1" t="s">
        <v>31</v>
      </c>
      <c r="G189" s="8">
        <v>45457</v>
      </c>
      <c r="H189" s="1">
        <v>45277</v>
      </c>
      <c r="I189" s="1" t="s">
        <v>21</v>
      </c>
      <c r="J189" s="1" t="s">
        <v>22</v>
      </c>
      <c r="K189" s="1" t="s">
        <v>38</v>
      </c>
      <c r="L189" s="1" t="s">
        <v>220</v>
      </c>
      <c r="M189" s="1" t="s">
        <v>25</v>
      </c>
      <c r="N189" s="1" t="s">
        <v>26</v>
      </c>
      <c r="O189" s="1">
        <v>5000</v>
      </c>
      <c r="P189" s="3" t="str">
        <f>IF(Table1[[#This Row],[Designation]]="Line Operator","Line Operator", "Other")</f>
        <v>Line Operator</v>
      </c>
    </row>
    <row r="190" spans="1:16" ht="15.75" customHeight="1" x14ac:dyDescent="0.25">
      <c r="A190" s="1" t="s">
        <v>413</v>
      </c>
      <c r="B190" s="1" t="s">
        <v>414</v>
      </c>
      <c r="C190" s="1" t="s">
        <v>44</v>
      </c>
      <c r="D190" s="1" t="s">
        <v>202</v>
      </c>
      <c r="E190" s="1" t="s">
        <v>75</v>
      </c>
      <c r="F190" s="1" t="s">
        <v>31</v>
      </c>
      <c r="G190" s="8">
        <v>45457</v>
      </c>
      <c r="H190" s="1">
        <v>45277</v>
      </c>
      <c r="I190" s="1" t="s">
        <v>21</v>
      </c>
      <c r="J190" s="1" t="s">
        <v>22</v>
      </c>
      <c r="K190" s="1" t="s">
        <v>38</v>
      </c>
      <c r="L190" s="1" t="s">
        <v>69</v>
      </c>
      <c r="M190" s="1" t="s">
        <v>40</v>
      </c>
      <c r="N190" s="1" t="s">
        <v>26</v>
      </c>
      <c r="O190" s="1">
        <v>5000</v>
      </c>
      <c r="P190" s="3" t="str">
        <f>IF(Table1[[#This Row],[Designation]]="Line Operator","Line Operator", "Other")</f>
        <v>Other</v>
      </c>
    </row>
    <row r="191" spans="1:16" ht="15.75" customHeight="1" x14ac:dyDescent="0.25">
      <c r="A191" s="1" t="s">
        <v>415</v>
      </c>
      <c r="B191" s="1" t="s">
        <v>416</v>
      </c>
      <c r="C191" s="1" t="s">
        <v>17</v>
      </c>
      <c r="D191" s="1" t="s">
        <v>18</v>
      </c>
      <c r="E191" s="1" t="s">
        <v>75</v>
      </c>
      <c r="F191" s="1" t="s">
        <v>31</v>
      </c>
      <c r="G191" s="8">
        <v>45457</v>
      </c>
      <c r="H191" s="1">
        <v>45277</v>
      </c>
      <c r="I191" s="1" t="s">
        <v>21</v>
      </c>
      <c r="J191" s="1" t="s">
        <v>22</v>
      </c>
      <c r="K191" s="1" t="s">
        <v>23</v>
      </c>
      <c r="L191" s="1" t="s">
        <v>24</v>
      </c>
      <c r="M191" s="1" t="s">
        <v>25</v>
      </c>
      <c r="N191" s="1" t="s">
        <v>26</v>
      </c>
      <c r="O191" s="1">
        <v>5000</v>
      </c>
      <c r="P191" s="3" t="str">
        <f>IF(Table1[[#This Row],[Designation]]="Line Operator","Line Operator", "Other")</f>
        <v>Line Operator</v>
      </c>
    </row>
    <row r="192" spans="1:16" ht="15.75" customHeight="1" x14ac:dyDescent="0.25">
      <c r="A192" s="1" t="s">
        <v>417</v>
      </c>
      <c r="B192" s="1" t="s">
        <v>418</v>
      </c>
      <c r="C192" s="1" t="s">
        <v>17</v>
      </c>
      <c r="D192" s="1" t="s">
        <v>18</v>
      </c>
      <c r="E192" s="1" t="s">
        <v>75</v>
      </c>
      <c r="F192" s="1" t="s">
        <v>31</v>
      </c>
      <c r="G192" s="8">
        <v>45457</v>
      </c>
      <c r="H192" s="1">
        <v>45277</v>
      </c>
      <c r="I192" s="1" t="s">
        <v>21</v>
      </c>
      <c r="J192" s="1" t="s">
        <v>22</v>
      </c>
      <c r="K192" s="1" t="s">
        <v>23</v>
      </c>
      <c r="L192" s="1" t="s">
        <v>96</v>
      </c>
      <c r="M192" s="1" t="s">
        <v>47</v>
      </c>
      <c r="N192" s="1" t="s">
        <v>26</v>
      </c>
      <c r="O192" s="1">
        <v>5000</v>
      </c>
      <c r="P192" s="3" t="str">
        <f>IF(Table1[[#This Row],[Designation]]="Line Operator","Line Operator", "Other")</f>
        <v>Line Operator</v>
      </c>
    </row>
    <row r="193" spans="1:16" ht="15.75" customHeight="1" x14ac:dyDescent="0.25">
      <c r="A193" s="1" t="s">
        <v>419</v>
      </c>
      <c r="B193" s="1" t="s">
        <v>420</v>
      </c>
      <c r="C193" s="1" t="s">
        <v>36</v>
      </c>
      <c r="D193" s="1" t="s">
        <v>18</v>
      </c>
      <c r="E193" s="1" t="s">
        <v>75</v>
      </c>
      <c r="F193" s="1" t="s">
        <v>31</v>
      </c>
      <c r="G193" s="8">
        <v>45457</v>
      </c>
      <c r="H193" s="1">
        <v>45277</v>
      </c>
      <c r="I193" s="1" t="s">
        <v>21</v>
      </c>
      <c r="J193" s="1" t="s">
        <v>22</v>
      </c>
      <c r="K193" s="1" t="s">
        <v>38</v>
      </c>
      <c r="L193" s="1" t="s">
        <v>24</v>
      </c>
      <c r="M193" s="1" t="s">
        <v>25</v>
      </c>
      <c r="N193" s="1" t="s">
        <v>26</v>
      </c>
      <c r="O193" s="1">
        <v>5000</v>
      </c>
      <c r="P193" s="3" t="str">
        <f>IF(Table1[[#This Row],[Designation]]="Line Operator","Line Operator", "Other")</f>
        <v>Line Operator</v>
      </c>
    </row>
    <row r="194" spans="1:16" ht="15.75" customHeight="1" x14ac:dyDescent="0.25">
      <c r="A194" s="1" t="s">
        <v>421</v>
      </c>
      <c r="B194" s="1" t="s">
        <v>422</v>
      </c>
      <c r="C194" s="1" t="s">
        <v>36</v>
      </c>
      <c r="D194" s="1" t="s">
        <v>18</v>
      </c>
      <c r="E194" s="1" t="s">
        <v>75</v>
      </c>
      <c r="F194" s="1" t="s">
        <v>31</v>
      </c>
      <c r="G194" s="8">
        <v>45457</v>
      </c>
      <c r="H194" s="1">
        <v>45277</v>
      </c>
      <c r="I194" s="1" t="s">
        <v>21</v>
      </c>
      <c r="J194" s="1" t="s">
        <v>22</v>
      </c>
      <c r="K194" s="1" t="s">
        <v>38</v>
      </c>
      <c r="L194" s="1" t="s">
        <v>24</v>
      </c>
      <c r="M194" s="1" t="s">
        <v>25</v>
      </c>
      <c r="N194" s="1" t="s">
        <v>26</v>
      </c>
      <c r="O194" s="1">
        <v>5000</v>
      </c>
      <c r="P194" s="3" t="str">
        <f>IF(Table1[[#This Row],[Designation]]="Line Operator","Line Operator", "Other")</f>
        <v>Line Operator</v>
      </c>
    </row>
    <row r="195" spans="1:16" ht="15.75" customHeight="1" x14ac:dyDescent="0.25">
      <c r="A195" s="1" t="s">
        <v>423</v>
      </c>
      <c r="B195" s="1" t="s">
        <v>424</v>
      </c>
      <c r="C195" s="1" t="s">
        <v>205</v>
      </c>
      <c r="D195" s="1" t="s">
        <v>202</v>
      </c>
      <c r="E195" s="1" t="s">
        <v>75</v>
      </c>
      <c r="F195" s="1" t="s">
        <v>31</v>
      </c>
      <c r="G195" s="8">
        <v>45457</v>
      </c>
      <c r="H195" s="1">
        <v>45277</v>
      </c>
      <c r="I195" s="1" t="s">
        <v>21</v>
      </c>
      <c r="J195" s="1" t="s">
        <v>22</v>
      </c>
      <c r="K195" s="1" t="s">
        <v>32</v>
      </c>
      <c r="L195" s="1" t="s">
        <v>24</v>
      </c>
      <c r="M195" s="1" t="s">
        <v>25</v>
      </c>
      <c r="N195" s="1" t="s">
        <v>26</v>
      </c>
      <c r="O195" s="1">
        <v>5000</v>
      </c>
      <c r="P195" s="3" t="str">
        <f>IF(Table1[[#This Row],[Designation]]="Line Operator","Line Operator", "Other")</f>
        <v>Other</v>
      </c>
    </row>
    <row r="196" spans="1:16" ht="15.75" customHeight="1" x14ac:dyDescent="0.25">
      <c r="A196" s="1" t="s">
        <v>425</v>
      </c>
      <c r="B196" s="1" t="s">
        <v>426</v>
      </c>
      <c r="C196" s="1" t="s">
        <v>36</v>
      </c>
      <c r="D196" s="1" t="s">
        <v>18</v>
      </c>
      <c r="E196" s="1" t="s">
        <v>75</v>
      </c>
      <c r="F196" s="1" t="s">
        <v>31</v>
      </c>
      <c r="G196" s="8">
        <v>45457</v>
      </c>
      <c r="H196" s="1">
        <v>45277</v>
      </c>
      <c r="I196" s="1" t="s">
        <v>81</v>
      </c>
      <c r="J196" s="1" t="s">
        <v>22</v>
      </c>
      <c r="K196" s="1" t="s">
        <v>38</v>
      </c>
      <c r="L196" s="1" t="s">
        <v>96</v>
      </c>
      <c r="M196" s="1" t="s">
        <v>47</v>
      </c>
      <c r="N196" s="1" t="s">
        <v>26</v>
      </c>
      <c r="O196" s="1">
        <v>5000</v>
      </c>
      <c r="P196" s="3" t="str">
        <f>IF(Table1[[#This Row],[Designation]]="Line Operator","Line Operator", "Other")</f>
        <v>Line Operator</v>
      </c>
    </row>
    <row r="197" spans="1:16" ht="15.75" customHeight="1" x14ac:dyDescent="0.25">
      <c r="A197" s="1" t="s">
        <v>427</v>
      </c>
      <c r="B197" s="1" t="s">
        <v>428</v>
      </c>
      <c r="C197" s="1" t="s">
        <v>44</v>
      </c>
      <c r="D197" s="1" t="s">
        <v>18</v>
      </c>
      <c r="E197" s="1" t="s">
        <v>75</v>
      </c>
      <c r="F197" s="1" t="s">
        <v>31</v>
      </c>
      <c r="G197" s="8">
        <v>45457</v>
      </c>
      <c r="H197" s="1">
        <v>45277</v>
      </c>
      <c r="I197" s="1" t="s">
        <v>81</v>
      </c>
      <c r="J197" s="1" t="s">
        <v>22</v>
      </c>
      <c r="K197" s="1" t="s">
        <v>23</v>
      </c>
      <c r="L197" s="1" t="s">
        <v>69</v>
      </c>
      <c r="M197" s="1" t="s">
        <v>40</v>
      </c>
      <c r="N197" s="1" t="s">
        <v>26</v>
      </c>
      <c r="O197" s="1">
        <v>5000</v>
      </c>
      <c r="P197" s="3" t="str">
        <f>IF(Table1[[#This Row],[Designation]]="Line Operator","Line Operator", "Other")</f>
        <v>Line Operator</v>
      </c>
    </row>
    <row r="198" spans="1:16" ht="15.75" customHeight="1" x14ac:dyDescent="0.25">
      <c r="A198" s="1" t="s">
        <v>429</v>
      </c>
      <c r="B198" s="1" t="s">
        <v>430</v>
      </c>
      <c r="C198" s="1" t="s">
        <v>36</v>
      </c>
      <c r="D198" s="1" t="s">
        <v>18</v>
      </c>
      <c r="E198" s="1" t="s">
        <v>75</v>
      </c>
      <c r="F198" s="1" t="s">
        <v>31</v>
      </c>
      <c r="G198" s="8">
        <v>45457</v>
      </c>
      <c r="H198" s="1">
        <v>45277</v>
      </c>
      <c r="I198" s="1" t="s">
        <v>81</v>
      </c>
      <c r="J198" s="1" t="s">
        <v>22</v>
      </c>
      <c r="K198" s="1" t="s">
        <v>32</v>
      </c>
      <c r="L198" s="1" t="s">
        <v>96</v>
      </c>
      <c r="M198" s="1" t="s">
        <v>47</v>
      </c>
      <c r="N198" s="1" t="s">
        <v>26</v>
      </c>
      <c r="O198" s="1">
        <v>5000</v>
      </c>
      <c r="P198" s="3" t="str">
        <f>IF(Table1[[#This Row],[Designation]]="Line Operator","Line Operator", "Other")</f>
        <v>Line Operator</v>
      </c>
    </row>
    <row r="199" spans="1:16" ht="15.75" customHeight="1" x14ac:dyDescent="0.25">
      <c r="A199" s="1" t="s">
        <v>431</v>
      </c>
      <c r="B199" s="1" t="s">
        <v>432</v>
      </c>
      <c r="C199" s="1" t="s">
        <v>36</v>
      </c>
      <c r="D199" s="1" t="s">
        <v>18</v>
      </c>
      <c r="E199" s="1" t="s">
        <v>75</v>
      </c>
      <c r="F199" s="1" t="s">
        <v>31</v>
      </c>
      <c r="G199" s="8">
        <v>45457</v>
      </c>
      <c r="H199" s="1">
        <v>45277</v>
      </c>
      <c r="I199" s="1" t="s">
        <v>81</v>
      </c>
      <c r="J199" s="1" t="s">
        <v>22</v>
      </c>
      <c r="K199" s="1" t="s">
        <v>23</v>
      </c>
      <c r="L199" s="1" t="s">
        <v>24</v>
      </c>
      <c r="M199" s="1" t="s">
        <v>25</v>
      </c>
      <c r="N199" s="1" t="s">
        <v>26</v>
      </c>
      <c r="O199" s="1">
        <v>5000</v>
      </c>
      <c r="P199" s="3" t="str">
        <f>IF(Table1[[#This Row],[Designation]]="Line Operator","Line Operator", "Other")</f>
        <v>Line Operator</v>
      </c>
    </row>
    <row r="200" spans="1:16" ht="15.75" customHeight="1" x14ac:dyDescent="0.25">
      <c r="A200" s="1" t="s">
        <v>433</v>
      </c>
      <c r="B200" s="1" t="s">
        <v>434</v>
      </c>
      <c r="C200" s="1" t="s">
        <v>36</v>
      </c>
      <c r="D200" s="1" t="s">
        <v>18</v>
      </c>
      <c r="E200" s="1" t="s">
        <v>75</v>
      </c>
      <c r="F200" s="1" t="s">
        <v>31</v>
      </c>
      <c r="G200" s="8">
        <v>45457</v>
      </c>
      <c r="H200" s="1">
        <v>45277</v>
      </c>
      <c r="I200" s="1" t="s">
        <v>81</v>
      </c>
      <c r="J200" s="1" t="s">
        <v>22</v>
      </c>
      <c r="K200" s="1" t="s">
        <v>32</v>
      </c>
      <c r="L200" s="1" t="s">
        <v>24</v>
      </c>
      <c r="M200" s="1" t="s">
        <v>25</v>
      </c>
      <c r="N200" s="1" t="s">
        <v>26</v>
      </c>
      <c r="O200" s="1">
        <v>5000</v>
      </c>
      <c r="P200" s="3" t="str">
        <f>IF(Table1[[#This Row],[Designation]]="Line Operator","Line Operator", "Other")</f>
        <v>Line Operator</v>
      </c>
    </row>
    <row r="201" spans="1:16" ht="15.75" customHeight="1" x14ac:dyDescent="0.25">
      <c r="A201" s="1" t="s">
        <v>435</v>
      </c>
      <c r="B201" s="1" t="s">
        <v>436</v>
      </c>
      <c r="C201" s="1" t="s">
        <v>17</v>
      </c>
      <c r="D201" s="1" t="s">
        <v>18</v>
      </c>
      <c r="E201" s="1" t="s">
        <v>75</v>
      </c>
      <c r="F201" s="1" t="s">
        <v>31</v>
      </c>
      <c r="G201" s="8">
        <v>45457</v>
      </c>
      <c r="H201" s="1">
        <v>45277</v>
      </c>
      <c r="I201" s="1" t="s">
        <v>81</v>
      </c>
      <c r="J201" s="1" t="s">
        <v>22</v>
      </c>
      <c r="K201" s="1" t="s">
        <v>23</v>
      </c>
      <c r="L201" s="1" t="s">
        <v>96</v>
      </c>
      <c r="M201" s="1" t="s">
        <v>47</v>
      </c>
      <c r="N201" s="1" t="s">
        <v>26</v>
      </c>
      <c r="O201" s="1">
        <v>5000</v>
      </c>
      <c r="P201" s="3" t="str">
        <f>IF(Table1[[#This Row],[Designation]]="Line Operator","Line Operator", "Other")</f>
        <v>Line Operator</v>
      </c>
    </row>
    <row r="202" spans="1:16" ht="15.75" customHeight="1" x14ac:dyDescent="0.25">
      <c r="A202" s="1" t="s">
        <v>437</v>
      </c>
      <c r="B202" s="1" t="s">
        <v>438</v>
      </c>
      <c r="C202" s="1" t="s">
        <v>44</v>
      </c>
      <c r="D202" s="1" t="s">
        <v>18</v>
      </c>
      <c r="E202" s="1" t="s">
        <v>75</v>
      </c>
      <c r="F202" s="1" t="s">
        <v>31</v>
      </c>
      <c r="G202" s="8">
        <v>45457</v>
      </c>
      <c r="H202" s="1">
        <v>45277</v>
      </c>
      <c r="I202" s="1" t="s">
        <v>81</v>
      </c>
      <c r="J202" s="1" t="s">
        <v>22</v>
      </c>
      <c r="K202" s="1" t="s">
        <v>23</v>
      </c>
      <c r="L202" s="1" t="s">
        <v>96</v>
      </c>
      <c r="M202" s="1" t="s">
        <v>47</v>
      </c>
      <c r="N202" s="1" t="s">
        <v>26</v>
      </c>
      <c r="O202" s="1">
        <v>5000</v>
      </c>
      <c r="P202" s="3" t="str">
        <f>IF(Table1[[#This Row],[Designation]]="Line Operator","Line Operator", "Other")</f>
        <v>Line Operator</v>
      </c>
    </row>
    <row r="203" spans="1:16" ht="15.75" customHeight="1" x14ac:dyDescent="0.25">
      <c r="A203" s="1" t="s">
        <v>439</v>
      </c>
      <c r="B203" s="1" t="s">
        <v>440</v>
      </c>
      <c r="C203" s="1" t="s">
        <v>44</v>
      </c>
      <c r="D203" s="1" t="s">
        <v>18</v>
      </c>
      <c r="E203" s="1" t="s">
        <v>75</v>
      </c>
      <c r="F203" s="1" t="s">
        <v>31</v>
      </c>
      <c r="G203" s="8">
        <v>45457</v>
      </c>
      <c r="H203" s="1">
        <v>45277</v>
      </c>
      <c r="I203" s="1" t="s">
        <v>21</v>
      </c>
      <c r="J203" s="1" t="s">
        <v>22</v>
      </c>
      <c r="K203" s="1" t="s">
        <v>115</v>
      </c>
      <c r="L203" s="1" t="s">
        <v>220</v>
      </c>
      <c r="M203" s="1" t="s">
        <v>25</v>
      </c>
      <c r="N203" s="1" t="s">
        <v>26</v>
      </c>
      <c r="O203" s="1">
        <v>5000</v>
      </c>
      <c r="P203" s="3" t="str">
        <f>IF(Table1[[#This Row],[Designation]]="Line Operator","Line Operator", "Other")</f>
        <v>Line Operator</v>
      </c>
    </row>
    <row r="204" spans="1:16" ht="15.75" customHeight="1" x14ac:dyDescent="0.25">
      <c r="A204" s="1" t="s">
        <v>441</v>
      </c>
      <c r="B204" s="1" t="s">
        <v>442</v>
      </c>
      <c r="C204" s="1" t="s">
        <v>36</v>
      </c>
      <c r="D204" s="1" t="s">
        <v>18</v>
      </c>
      <c r="E204" s="1" t="s">
        <v>75</v>
      </c>
      <c r="F204" s="1" t="s">
        <v>31</v>
      </c>
      <c r="G204" s="8">
        <v>45457</v>
      </c>
      <c r="H204" s="1">
        <v>45277</v>
      </c>
      <c r="I204" s="1" t="s">
        <v>21</v>
      </c>
      <c r="J204" s="1" t="s">
        <v>22</v>
      </c>
      <c r="K204" s="1" t="s">
        <v>38</v>
      </c>
      <c r="L204" s="1" t="s">
        <v>96</v>
      </c>
      <c r="M204" s="1" t="s">
        <v>47</v>
      </c>
      <c r="N204" s="1" t="s">
        <v>26</v>
      </c>
      <c r="O204" s="1">
        <v>5000</v>
      </c>
      <c r="P204" s="3" t="str">
        <f>IF(Table1[[#This Row],[Designation]]="Line Operator","Line Operator", "Other")</f>
        <v>Line Operator</v>
      </c>
    </row>
    <row r="205" spans="1:16" ht="15.75" customHeight="1" x14ac:dyDescent="0.25">
      <c r="A205" s="1" t="s">
        <v>443</v>
      </c>
      <c r="B205" s="1" t="s">
        <v>444</v>
      </c>
      <c r="C205" s="1" t="s">
        <v>205</v>
      </c>
      <c r="D205" s="1" t="s">
        <v>18</v>
      </c>
      <c r="E205" s="1" t="s">
        <v>75</v>
      </c>
      <c r="F205" s="1" t="s">
        <v>31</v>
      </c>
      <c r="G205" s="8">
        <v>45457</v>
      </c>
      <c r="H205" s="1">
        <v>45277</v>
      </c>
      <c r="I205" s="1" t="s">
        <v>81</v>
      </c>
      <c r="J205" s="1" t="s">
        <v>22</v>
      </c>
      <c r="K205" s="1" t="s">
        <v>58</v>
      </c>
      <c r="L205" s="1" t="s">
        <v>191</v>
      </c>
      <c r="M205" s="1" t="s">
        <v>40</v>
      </c>
      <c r="N205" s="1" t="s">
        <v>26</v>
      </c>
      <c r="O205" s="1">
        <v>5000</v>
      </c>
      <c r="P205" s="3" t="str">
        <f>IF(Table1[[#This Row],[Designation]]="Line Operator","Line Operator", "Other")</f>
        <v>Line Operator</v>
      </c>
    </row>
    <row r="206" spans="1:16" ht="15.75" customHeight="1" x14ac:dyDescent="0.25">
      <c r="A206" s="1" t="s">
        <v>445</v>
      </c>
      <c r="B206" s="1" t="s">
        <v>446</v>
      </c>
      <c r="C206" s="1" t="s">
        <v>36</v>
      </c>
      <c r="D206" s="1" t="s">
        <v>18</v>
      </c>
      <c r="E206" s="1" t="s">
        <v>75</v>
      </c>
      <c r="F206" s="1" t="s">
        <v>31</v>
      </c>
      <c r="G206" s="8">
        <v>45457</v>
      </c>
      <c r="H206" s="1">
        <v>45277</v>
      </c>
      <c r="I206" s="1" t="s">
        <v>81</v>
      </c>
      <c r="J206" s="1" t="s">
        <v>22</v>
      </c>
      <c r="K206" s="1" t="s">
        <v>38</v>
      </c>
      <c r="L206" s="1" t="s">
        <v>96</v>
      </c>
      <c r="M206" s="1" t="s">
        <v>47</v>
      </c>
      <c r="N206" s="1" t="s">
        <v>26</v>
      </c>
      <c r="O206" s="1">
        <v>5000</v>
      </c>
      <c r="P206" s="3" t="str">
        <f>IF(Table1[[#This Row],[Designation]]="Line Operator","Line Operator", "Other")</f>
        <v>Line Operator</v>
      </c>
    </row>
    <row r="207" spans="1:16" ht="15.75" customHeight="1" x14ac:dyDescent="0.25">
      <c r="A207" s="1" t="s">
        <v>447</v>
      </c>
      <c r="B207" s="1" t="s">
        <v>448</v>
      </c>
      <c r="C207" s="1" t="s">
        <v>44</v>
      </c>
      <c r="D207" s="1" t="s">
        <v>18</v>
      </c>
      <c r="E207" s="1" t="s">
        <v>75</v>
      </c>
      <c r="F207" s="1" t="s">
        <v>31</v>
      </c>
      <c r="G207" s="8">
        <v>45457</v>
      </c>
      <c r="H207" s="1">
        <v>45277</v>
      </c>
      <c r="I207" s="1" t="s">
        <v>81</v>
      </c>
      <c r="J207" s="1" t="s">
        <v>22</v>
      </c>
      <c r="K207" s="1" t="s">
        <v>32</v>
      </c>
      <c r="L207" s="1" t="s">
        <v>24</v>
      </c>
      <c r="M207" s="1" t="s">
        <v>25</v>
      </c>
      <c r="N207" s="1" t="s">
        <v>26</v>
      </c>
      <c r="O207" s="1">
        <v>5000</v>
      </c>
      <c r="P207" s="3" t="str">
        <f>IF(Table1[[#This Row],[Designation]]="Line Operator","Line Operator", "Other")</f>
        <v>Line Operator</v>
      </c>
    </row>
    <row r="208" spans="1:16" ht="15.75" customHeight="1" x14ac:dyDescent="0.25">
      <c r="A208" s="1" t="s">
        <v>449</v>
      </c>
      <c r="B208" s="1" t="s">
        <v>450</v>
      </c>
      <c r="C208" s="1" t="s">
        <v>44</v>
      </c>
      <c r="D208" s="1" t="s">
        <v>18</v>
      </c>
      <c r="E208" s="1" t="s">
        <v>75</v>
      </c>
      <c r="F208" s="1" t="s">
        <v>31</v>
      </c>
      <c r="G208" s="8">
        <v>45457</v>
      </c>
      <c r="H208" s="1">
        <v>45277</v>
      </c>
      <c r="I208" s="1" t="s">
        <v>81</v>
      </c>
      <c r="J208" s="1" t="s">
        <v>37</v>
      </c>
      <c r="K208" s="1" t="s">
        <v>32</v>
      </c>
      <c r="L208" s="1" t="s">
        <v>24</v>
      </c>
      <c r="M208" s="1" t="s">
        <v>25</v>
      </c>
      <c r="N208" s="1" t="s">
        <v>26</v>
      </c>
      <c r="O208" s="1">
        <v>5000</v>
      </c>
      <c r="P208" s="3" t="str">
        <f>IF(Table1[[#This Row],[Designation]]="Line Operator","Line Operator", "Other")</f>
        <v>Line Operator</v>
      </c>
    </row>
    <row r="209" spans="1:16" ht="15.75" customHeight="1" x14ac:dyDescent="0.25">
      <c r="A209" s="1" t="s">
        <v>451</v>
      </c>
      <c r="B209" s="1" t="s">
        <v>452</v>
      </c>
      <c r="C209" s="1" t="s">
        <v>44</v>
      </c>
      <c r="D209" s="1" t="s">
        <v>18</v>
      </c>
      <c r="E209" s="1" t="s">
        <v>75</v>
      </c>
      <c r="F209" s="1" t="s">
        <v>31</v>
      </c>
      <c r="G209" s="8">
        <v>45457</v>
      </c>
      <c r="H209" s="1">
        <v>45277</v>
      </c>
      <c r="I209" s="1" t="s">
        <v>81</v>
      </c>
      <c r="J209" s="1" t="s">
        <v>22</v>
      </c>
      <c r="K209" s="1" t="s">
        <v>38</v>
      </c>
      <c r="L209" s="1" t="s">
        <v>24</v>
      </c>
      <c r="M209" s="1" t="s">
        <v>25</v>
      </c>
      <c r="N209" s="1" t="s">
        <v>26</v>
      </c>
      <c r="O209" s="1">
        <v>5000</v>
      </c>
      <c r="P209" s="3" t="str">
        <f>IF(Table1[[#This Row],[Designation]]="Line Operator","Line Operator", "Other")</f>
        <v>Line Operator</v>
      </c>
    </row>
    <row r="210" spans="1:16" ht="15.75" customHeight="1" x14ac:dyDescent="0.25">
      <c r="A210" s="1" t="s">
        <v>453</v>
      </c>
      <c r="B210" s="1" t="s">
        <v>454</v>
      </c>
      <c r="C210" s="1" t="s">
        <v>44</v>
      </c>
      <c r="D210" s="1" t="s">
        <v>18</v>
      </c>
      <c r="E210" s="1" t="s">
        <v>75</v>
      </c>
      <c r="F210" s="1" t="s">
        <v>31</v>
      </c>
      <c r="G210" s="8">
        <v>45457</v>
      </c>
      <c r="H210" s="1">
        <v>45277</v>
      </c>
      <c r="I210" s="1" t="s">
        <v>21</v>
      </c>
      <c r="J210" s="1" t="s">
        <v>22</v>
      </c>
      <c r="K210" s="1" t="s">
        <v>23</v>
      </c>
      <c r="L210" s="1" t="s">
        <v>24</v>
      </c>
      <c r="M210" s="1" t="s">
        <v>25</v>
      </c>
      <c r="N210" s="1" t="s">
        <v>26</v>
      </c>
      <c r="O210" s="1">
        <v>5000</v>
      </c>
      <c r="P210" s="3" t="str">
        <f>IF(Table1[[#This Row],[Designation]]="Line Operator","Line Operator", "Other")</f>
        <v>Line Operator</v>
      </c>
    </row>
    <row r="211" spans="1:16" ht="15.75" customHeight="1" x14ac:dyDescent="0.25">
      <c r="A211" s="1" t="s">
        <v>455</v>
      </c>
      <c r="B211" s="1" t="s">
        <v>456</v>
      </c>
      <c r="C211" s="1" t="s">
        <v>44</v>
      </c>
      <c r="D211" s="1" t="s">
        <v>202</v>
      </c>
      <c r="E211" s="1" t="s">
        <v>75</v>
      </c>
      <c r="F211" s="1" t="s">
        <v>31</v>
      </c>
      <c r="G211" s="8">
        <v>45458</v>
      </c>
      <c r="H211" s="1">
        <v>45278</v>
      </c>
      <c r="I211" s="1" t="s">
        <v>21</v>
      </c>
      <c r="J211" s="1" t="s">
        <v>22</v>
      </c>
      <c r="K211" s="1" t="s">
        <v>23</v>
      </c>
      <c r="L211" s="1" t="s">
        <v>24</v>
      </c>
      <c r="M211" s="1" t="s">
        <v>25</v>
      </c>
      <c r="N211" s="1" t="s">
        <v>26</v>
      </c>
      <c r="O211" s="1">
        <v>5000</v>
      </c>
      <c r="P211" s="3" t="str">
        <f>IF(Table1[[#This Row],[Designation]]="Line Operator","Line Operator", "Other")</f>
        <v>Other</v>
      </c>
    </row>
    <row r="212" spans="1:16" ht="15.75" customHeight="1" x14ac:dyDescent="0.25">
      <c r="A212" s="1" t="s">
        <v>457</v>
      </c>
      <c r="B212" s="1" t="s">
        <v>458</v>
      </c>
      <c r="C212" s="1" t="s">
        <v>44</v>
      </c>
      <c r="D212" s="1" t="s">
        <v>18</v>
      </c>
      <c r="E212" s="1" t="s">
        <v>75</v>
      </c>
      <c r="F212" s="1" t="s">
        <v>31</v>
      </c>
      <c r="G212" s="8">
        <v>45458</v>
      </c>
      <c r="H212" s="1">
        <v>45278</v>
      </c>
      <c r="I212" s="1" t="s">
        <v>81</v>
      </c>
      <c r="J212" s="1" t="s">
        <v>22</v>
      </c>
      <c r="K212" s="1" t="s">
        <v>32</v>
      </c>
      <c r="L212" s="1" t="s">
        <v>24</v>
      </c>
      <c r="M212" s="1" t="s">
        <v>25</v>
      </c>
      <c r="N212" s="1" t="s">
        <v>26</v>
      </c>
      <c r="O212" s="1">
        <v>5000</v>
      </c>
      <c r="P212" s="3" t="str">
        <f>IF(Table1[[#This Row],[Designation]]="Line Operator","Line Operator", "Other")</f>
        <v>Line Operator</v>
      </c>
    </row>
    <row r="213" spans="1:16" ht="15.75" customHeight="1" x14ac:dyDescent="0.25">
      <c r="A213" s="1" t="s">
        <v>459</v>
      </c>
      <c r="B213" s="1" t="s">
        <v>460</v>
      </c>
      <c r="C213" s="1" t="s">
        <v>36</v>
      </c>
      <c r="D213" s="1" t="s">
        <v>18</v>
      </c>
      <c r="E213" s="1" t="s">
        <v>75</v>
      </c>
      <c r="F213" s="1" t="s">
        <v>31</v>
      </c>
      <c r="G213" s="8">
        <v>45458</v>
      </c>
      <c r="H213" s="1">
        <v>45278</v>
      </c>
      <c r="I213" s="1" t="s">
        <v>81</v>
      </c>
      <c r="J213" s="1" t="s">
        <v>22</v>
      </c>
      <c r="K213" s="1" t="s">
        <v>23</v>
      </c>
      <c r="L213" s="1" t="s">
        <v>116</v>
      </c>
      <c r="M213" s="1" t="s">
        <v>47</v>
      </c>
      <c r="N213" s="1" t="s">
        <v>26</v>
      </c>
      <c r="O213" s="1">
        <v>5000</v>
      </c>
      <c r="P213" s="3" t="str">
        <f>IF(Table1[[#This Row],[Designation]]="Line Operator","Line Operator", "Other")</f>
        <v>Line Operator</v>
      </c>
    </row>
    <row r="214" spans="1:16" ht="15.75" customHeight="1" x14ac:dyDescent="0.25">
      <c r="A214" s="1" t="s">
        <v>461</v>
      </c>
      <c r="B214" s="1" t="s">
        <v>462</v>
      </c>
      <c r="C214" s="1" t="s">
        <v>17</v>
      </c>
      <c r="D214" s="1" t="s">
        <v>18</v>
      </c>
      <c r="E214" s="1" t="s">
        <v>75</v>
      </c>
      <c r="F214" s="1" t="s">
        <v>31</v>
      </c>
      <c r="G214" s="8">
        <v>45458</v>
      </c>
      <c r="H214" s="1">
        <v>45278</v>
      </c>
      <c r="I214" s="1" t="s">
        <v>81</v>
      </c>
      <c r="J214" s="1" t="s">
        <v>22</v>
      </c>
      <c r="K214" s="1" t="s">
        <v>38</v>
      </c>
      <c r="L214" s="1" t="s">
        <v>96</v>
      </c>
      <c r="M214" s="1" t="s">
        <v>47</v>
      </c>
      <c r="N214" s="1" t="s">
        <v>26</v>
      </c>
      <c r="O214" s="1">
        <v>5000</v>
      </c>
      <c r="P214" s="3" t="str">
        <f>IF(Table1[[#This Row],[Designation]]="Line Operator","Line Operator", "Other")</f>
        <v>Line Operator</v>
      </c>
    </row>
    <row r="215" spans="1:16" ht="15.75" customHeight="1" x14ac:dyDescent="0.25">
      <c r="A215" s="1" t="s">
        <v>463</v>
      </c>
      <c r="B215" s="1" t="s">
        <v>464</v>
      </c>
      <c r="C215" s="1" t="s">
        <v>44</v>
      </c>
      <c r="D215" s="1" t="s">
        <v>18</v>
      </c>
      <c r="E215" s="1" t="s">
        <v>75</v>
      </c>
      <c r="F215" s="1" t="s">
        <v>31</v>
      </c>
      <c r="G215" s="8">
        <v>45458</v>
      </c>
      <c r="H215" s="1">
        <v>45278</v>
      </c>
      <c r="I215" s="1" t="s">
        <v>81</v>
      </c>
      <c r="J215" s="1" t="s">
        <v>22</v>
      </c>
      <c r="K215" s="1" t="s">
        <v>23</v>
      </c>
      <c r="L215" s="1" t="s">
        <v>465</v>
      </c>
      <c r="M215" s="1" t="s">
        <v>51</v>
      </c>
      <c r="N215" s="1" t="s">
        <v>26</v>
      </c>
      <c r="O215" s="1">
        <v>5000</v>
      </c>
      <c r="P215" s="3" t="str">
        <f>IF(Table1[[#This Row],[Designation]]="Line Operator","Line Operator", "Other")</f>
        <v>Line Operator</v>
      </c>
    </row>
    <row r="216" spans="1:16" ht="15.75" customHeight="1" x14ac:dyDescent="0.25">
      <c r="A216" s="1" t="s">
        <v>466</v>
      </c>
      <c r="B216" s="1" t="s">
        <v>467</v>
      </c>
      <c r="C216" s="1" t="s">
        <v>36</v>
      </c>
      <c r="D216" s="1" t="s">
        <v>18</v>
      </c>
      <c r="E216" s="1" t="s">
        <v>75</v>
      </c>
      <c r="F216" s="1" t="s">
        <v>31</v>
      </c>
      <c r="G216" s="8">
        <v>45458</v>
      </c>
      <c r="H216" s="1">
        <v>45278</v>
      </c>
      <c r="I216" s="1" t="s">
        <v>81</v>
      </c>
      <c r="J216" s="1" t="s">
        <v>37</v>
      </c>
      <c r="K216" s="1" t="s">
        <v>32</v>
      </c>
      <c r="L216" s="1" t="s">
        <v>24</v>
      </c>
      <c r="M216" s="1" t="s">
        <v>25</v>
      </c>
      <c r="N216" s="1" t="s">
        <v>26</v>
      </c>
      <c r="O216" s="1">
        <v>5000</v>
      </c>
      <c r="P216" s="3" t="str">
        <f>IF(Table1[[#This Row],[Designation]]="Line Operator","Line Operator", "Other")</f>
        <v>Line Operator</v>
      </c>
    </row>
    <row r="217" spans="1:16" ht="15.75" customHeight="1" x14ac:dyDescent="0.25">
      <c r="A217" s="1" t="s">
        <v>468</v>
      </c>
      <c r="B217" s="1" t="s">
        <v>469</v>
      </c>
      <c r="C217" s="1" t="s">
        <v>17</v>
      </c>
      <c r="D217" s="1" t="s">
        <v>18</v>
      </c>
      <c r="E217" s="1" t="s">
        <v>75</v>
      </c>
      <c r="F217" s="1" t="s">
        <v>31</v>
      </c>
      <c r="G217" s="8">
        <v>45458</v>
      </c>
      <c r="H217" s="1">
        <v>45278</v>
      </c>
      <c r="I217" s="1" t="s">
        <v>81</v>
      </c>
      <c r="J217" s="1" t="s">
        <v>22</v>
      </c>
      <c r="K217" s="1" t="s">
        <v>32</v>
      </c>
      <c r="L217" s="1" t="s">
        <v>24</v>
      </c>
      <c r="M217" s="1" t="s">
        <v>25</v>
      </c>
      <c r="N217" s="1" t="s">
        <v>26</v>
      </c>
      <c r="O217" s="1">
        <v>5000</v>
      </c>
      <c r="P217" s="3" t="str">
        <f>IF(Table1[[#This Row],[Designation]]="Line Operator","Line Operator", "Other")</f>
        <v>Line Operator</v>
      </c>
    </row>
    <row r="218" spans="1:16" ht="15.75" customHeight="1" x14ac:dyDescent="0.25">
      <c r="A218" s="1" t="s">
        <v>470</v>
      </c>
      <c r="B218" s="1" t="s">
        <v>471</v>
      </c>
      <c r="C218" s="1" t="s">
        <v>44</v>
      </c>
      <c r="D218" s="1" t="s">
        <v>18</v>
      </c>
      <c r="E218" s="1" t="s">
        <v>75</v>
      </c>
      <c r="F218" s="1" t="s">
        <v>31</v>
      </c>
      <c r="G218" s="8">
        <v>45458</v>
      </c>
      <c r="H218" s="1">
        <v>45278</v>
      </c>
      <c r="I218" s="1" t="s">
        <v>21</v>
      </c>
      <c r="J218" s="1" t="s">
        <v>22</v>
      </c>
      <c r="K218" s="1" t="s">
        <v>38</v>
      </c>
      <c r="L218" s="1" t="s">
        <v>24</v>
      </c>
      <c r="M218" s="1" t="s">
        <v>25</v>
      </c>
      <c r="N218" s="1" t="s">
        <v>26</v>
      </c>
      <c r="O218" s="1">
        <v>5000</v>
      </c>
      <c r="P218" s="3" t="str">
        <f>IF(Table1[[#This Row],[Designation]]="Line Operator","Line Operator", "Other")</f>
        <v>Line Operator</v>
      </c>
    </row>
    <row r="219" spans="1:16" ht="15.75" customHeight="1" x14ac:dyDescent="0.25">
      <c r="A219" s="1" t="s">
        <v>472</v>
      </c>
      <c r="B219" s="1" t="s">
        <v>473</v>
      </c>
      <c r="C219" s="1" t="s">
        <v>44</v>
      </c>
      <c r="D219" s="1" t="s">
        <v>18</v>
      </c>
      <c r="E219" s="1" t="s">
        <v>75</v>
      </c>
      <c r="F219" s="1" t="s">
        <v>31</v>
      </c>
      <c r="G219" s="8">
        <v>45458</v>
      </c>
      <c r="H219" s="1">
        <v>45278</v>
      </c>
      <c r="I219" s="1" t="s">
        <v>21</v>
      </c>
      <c r="J219" s="1" t="s">
        <v>37</v>
      </c>
      <c r="K219" s="1" t="s">
        <v>23</v>
      </c>
      <c r="L219" s="1" t="s">
        <v>24</v>
      </c>
      <c r="M219" s="1" t="s">
        <v>25</v>
      </c>
      <c r="N219" s="1" t="s">
        <v>26</v>
      </c>
      <c r="O219" s="1">
        <v>5000</v>
      </c>
      <c r="P219" s="3" t="str">
        <f>IF(Table1[[#This Row],[Designation]]="Line Operator","Line Operator", "Other")</f>
        <v>Line Operator</v>
      </c>
    </row>
    <row r="220" spans="1:16" ht="15.75" customHeight="1" x14ac:dyDescent="0.25">
      <c r="A220" s="1" t="s">
        <v>474</v>
      </c>
      <c r="B220" s="1" t="s">
        <v>475</v>
      </c>
      <c r="C220" s="1" t="s">
        <v>36</v>
      </c>
      <c r="D220" s="1" t="s">
        <v>18</v>
      </c>
      <c r="E220" s="1" t="s">
        <v>75</v>
      </c>
      <c r="F220" s="1" t="s">
        <v>31</v>
      </c>
      <c r="G220" s="8">
        <v>45458</v>
      </c>
      <c r="H220" s="1">
        <v>45278</v>
      </c>
      <c r="I220" s="1" t="s">
        <v>21</v>
      </c>
      <c r="J220" s="1" t="s">
        <v>22</v>
      </c>
      <c r="K220" s="1" t="s">
        <v>38</v>
      </c>
      <c r="L220" s="1" t="s">
        <v>24</v>
      </c>
      <c r="M220" s="1" t="s">
        <v>25</v>
      </c>
      <c r="N220" s="1" t="s">
        <v>26</v>
      </c>
      <c r="O220" s="1">
        <v>5000</v>
      </c>
      <c r="P220" s="3" t="str">
        <f>IF(Table1[[#This Row],[Designation]]="Line Operator","Line Operator", "Other")</f>
        <v>Line Operator</v>
      </c>
    </row>
    <row r="221" spans="1:16" ht="15.75" customHeight="1" x14ac:dyDescent="0.25">
      <c r="A221" s="1" t="s">
        <v>476</v>
      </c>
      <c r="B221" s="1" t="s">
        <v>477</v>
      </c>
      <c r="C221" s="1" t="s">
        <v>44</v>
      </c>
      <c r="D221" s="1" t="s">
        <v>18</v>
      </c>
      <c r="E221" s="1" t="s">
        <v>75</v>
      </c>
      <c r="F221" s="1" t="s">
        <v>31</v>
      </c>
      <c r="G221" s="8">
        <v>45458</v>
      </c>
      <c r="H221" s="1">
        <v>45278</v>
      </c>
      <c r="I221" s="1" t="s">
        <v>21</v>
      </c>
      <c r="J221" s="1" t="s">
        <v>22</v>
      </c>
      <c r="K221" s="1" t="s">
        <v>38</v>
      </c>
      <c r="L221" s="1" t="s">
        <v>24</v>
      </c>
      <c r="M221" s="1" t="s">
        <v>25</v>
      </c>
      <c r="N221" s="1" t="s">
        <v>26</v>
      </c>
      <c r="O221" s="1">
        <v>5000</v>
      </c>
      <c r="P221" s="3" t="str">
        <f>IF(Table1[[#This Row],[Designation]]="Line Operator","Line Operator", "Other")</f>
        <v>Line Operator</v>
      </c>
    </row>
    <row r="222" spans="1:16" ht="15.75" customHeight="1" x14ac:dyDescent="0.25">
      <c r="A222" s="1" t="s">
        <v>478</v>
      </c>
      <c r="B222" s="1" t="s">
        <v>479</v>
      </c>
      <c r="C222" s="1" t="s">
        <v>17</v>
      </c>
      <c r="D222" s="1" t="s">
        <v>18</v>
      </c>
      <c r="E222" s="1" t="s">
        <v>75</v>
      </c>
      <c r="F222" s="1" t="s">
        <v>31</v>
      </c>
      <c r="G222" s="8">
        <v>45458</v>
      </c>
      <c r="H222" s="1">
        <v>45278</v>
      </c>
      <c r="I222" s="1" t="s">
        <v>21</v>
      </c>
      <c r="J222" s="1" t="s">
        <v>22</v>
      </c>
      <c r="K222" s="1" t="s">
        <v>32</v>
      </c>
      <c r="L222" s="1" t="s">
        <v>96</v>
      </c>
      <c r="M222" s="1" t="s">
        <v>47</v>
      </c>
      <c r="N222" s="1" t="s">
        <v>26</v>
      </c>
      <c r="O222" s="1">
        <v>5000</v>
      </c>
      <c r="P222" s="3" t="str">
        <f>IF(Table1[[#This Row],[Designation]]="Line Operator","Line Operator", "Other")</f>
        <v>Line Operator</v>
      </c>
    </row>
    <row r="223" spans="1:16" ht="15.75" customHeight="1" x14ac:dyDescent="0.25">
      <c r="A223" s="1" t="s">
        <v>480</v>
      </c>
      <c r="B223" s="1" t="s">
        <v>481</v>
      </c>
      <c r="C223" s="1" t="s">
        <v>44</v>
      </c>
      <c r="D223" s="1" t="s">
        <v>18</v>
      </c>
      <c r="E223" s="1" t="s">
        <v>75</v>
      </c>
      <c r="F223" s="1" t="s">
        <v>31</v>
      </c>
      <c r="G223" s="8">
        <v>45458</v>
      </c>
      <c r="H223" s="1">
        <v>45278</v>
      </c>
      <c r="I223" s="1" t="s">
        <v>21</v>
      </c>
      <c r="J223" s="1" t="s">
        <v>22</v>
      </c>
      <c r="K223" s="1" t="s">
        <v>38</v>
      </c>
      <c r="L223" s="1" t="s">
        <v>482</v>
      </c>
      <c r="M223" s="1" t="s">
        <v>40</v>
      </c>
      <c r="N223" s="1" t="s">
        <v>26</v>
      </c>
      <c r="O223" s="1">
        <v>5000</v>
      </c>
      <c r="P223" s="3" t="str">
        <f>IF(Table1[[#This Row],[Designation]]="Line Operator","Line Operator", "Other")</f>
        <v>Line Operator</v>
      </c>
    </row>
    <row r="224" spans="1:16" ht="15.75" customHeight="1" x14ac:dyDescent="0.25">
      <c r="A224" s="1" t="s">
        <v>483</v>
      </c>
      <c r="B224" s="1" t="s">
        <v>484</v>
      </c>
      <c r="C224" s="1" t="s">
        <v>44</v>
      </c>
      <c r="D224" s="1" t="s">
        <v>18</v>
      </c>
      <c r="E224" s="1" t="s">
        <v>75</v>
      </c>
      <c r="F224" s="1" t="s">
        <v>31</v>
      </c>
      <c r="G224" s="8">
        <v>45458</v>
      </c>
      <c r="H224" s="1">
        <v>45278</v>
      </c>
      <c r="I224" s="1" t="s">
        <v>81</v>
      </c>
      <c r="J224" s="1" t="s">
        <v>22</v>
      </c>
      <c r="K224" s="1" t="s">
        <v>38</v>
      </c>
      <c r="L224" s="1" t="s">
        <v>220</v>
      </c>
      <c r="M224" s="1" t="s">
        <v>25</v>
      </c>
      <c r="N224" s="1" t="s">
        <v>26</v>
      </c>
      <c r="O224" s="1">
        <v>5000</v>
      </c>
      <c r="P224" s="3" t="str">
        <f>IF(Table1[[#This Row],[Designation]]="Line Operator","Line Operator", "Other")</f>
        <v>Line Operator</v>
      </c>
    </row>
    <row r="225" spans="1:16" ht="15.75" customHeight="1" x14ac:dyDescent="0.25">
      <c r="A225" s="1" t="s">
        <v>485</v>
      </c>
      <c r="B225" s="1" t="s">
        <v>486</v>
      </c>
      <c r="C225" s="1" t="s">
        <v>36</v>
      </c>
      <c r="D225" s="1" t="s">
        <v>202</v>
      </c>
      <c r="E225" s="1" t="s">
        <v>75</v>
      </c>
      <c r="F225" s="1" t="s">
        <v>31</v>
      </c>
      <c r="G225" s="8">
        <v>45458</v>
      </c>
      <c r="H225" s="1">
        <v>45278</v>
      </c>
      <c r="I225" s="1" t="s">
        <v>21</v>
      </c>
      <c r="J225" s="1" t="s">
        <v>22</v>
      </c>
      <c r="K225" s="1" t="s">
        <v>38</v>
      </c>
      <c r="L225" s="1" t="s">
        <v>24</v>
      </c>
      <c r="M225" s="1" t="s">
        <v>25</v>
      </c>
      <c r="N225" s="1" t="s">
        <v>26</v>
      </c>
      <c r="O225" s="1">
        <v>5000</v>
      </c>
      <c r="P225" s="3" t="str">
        <f>IF(Table1[[#This Row],[Designation]]="Line Operator","Line Operator", "Other")</f>
        <v>Other</v>
      </c>
    </row>
    <row r="226" spans="1:16" ht="15.75" customHeight="1" x14ac:dyDescent="0.25">
      <c r="A226" s="1" t="s">
        <v>487</v>
      </c>
      <c r="B226" s="1" t="s">
        <v>488</v>
      </c>
      <c r="C226" s="1" t="s">
        <v>44</v>
      </c>
      <c r="D226" s="1" t="s">
        <v>18</v>
      </c>
      <c r="E226" s="1" t="s">
        <v>75</v>
      </c>
      <c r="F226" s="1" t="s">
        <v>31</v>
      </c>
      <c r="G226" s="8">
        <v>45458</v>
      </c>
      <c r="H226" s="1">
        <v>45278</v>
      </c>
      <c r="I226" s="1" t="s">
        <v>21</v>
      </c>
      <c r="J226" s="1" t="s">
        <v>22</v>
      </c>
      <c r="K226" s="1" t="s">
        <v>23</v>
      </c>
      <c r="L226" s="1" t="s">
        <v>290</v>
      </c>
      <c r="M226" s="1" t="s">
        <v>47</v>
      </c>
      <c r="N226" s="1" t="s">
        <v>26</v>
      </c>
      <c r="O226" s="1">
        <v>5000</v>
      </c>
      <c r="P226" s="3" t="str">
        <f>IF(Table1[[#This Row],[Designation]]="Line Operator","Line Operator", "Other")</f>
        <v>Line Operator</v>
      </c>
    </row>
    <row r="227" spans="1:16" ht="15.75" customHeight="1" x14ac:dyDescent="0.25">
      <c r="A227" s="1" t="s">
        <v>489</v>
      </c>
      <c r="B227" s="1" t="s">
        <v>490</v>
      </c>
      <c r="C227" s="1" t="s">
        <v>44</v>
      </c>
      <c r="D227" s="1" t="s">
        <v>18</v>
      </c>
      <c r="E227" s="1" t="s">
        <v>75</v>
      </c>
      <c r="F227" s="1" t="s">
        <v>31</v>
      </c>
      <c r="G227" s="8">
        <v>45458</v>
      </c>
      <c r="H227" s="1">
        <v>45278</v>
      </c>
      <c r="I227" s="1" t="s">
        <v>81</v>
      </c>
      <c r="J227" s="1" t="s">
        <v>22</v>
      </c>
      <c r="K227" s="1" t="s">
        <v>23</v>
      </c>
      <c r="L227" s="1" t="s">
        <v>225</v>
      </c>
      <c r="M227" s="1" t="s">
        <v>47</v>
      </c>
      <c r="N227" s="1" t="s">
        <v>26</v>
      </c>
      <c r="O227" s="1">
        <v>5000</v>
      </c>
      <c r="P227" s="3" t="str">
        <f>IF(Table1[[#This Row],[Designation]]="Line Operator","Line Operator", "Other")</f>
        <v>Line Operator</v>
      </c>
    </row>
    <row r="228" spans="1:16" ht="15.75" customHeight="1" x14ac:dyDescent="0.25">
      <c r="A228" s="1" t="s">
        <v>491</v>
      </c>
      <c r="B228" s="1" t="s">
        <v>492</v>
      </c>
      <c r="C228" s="1" t="s">
        <v>17</v>
      </c>
      <c r="D228" s="1" t="s">
        <v>18</v>
      </c>
      <c r="E228" s="1" t="s">
        <v>75</v>
      </c>
      <c r="F228" s="1" t="s">
        <v>31</v>
      </c>
      <c r="G228" s="8">
        <v>45459</v>
      </c>
      <c r="H228" s="1">
        <v>45279</v>
      </c>
      <c r="I228" s="1" t="s">
        <v>21</v>
      </c>
      <c r="J228" s="1" t="s">
        <v>22</v>
      </c>
      <c r="K228" s="1" t="s">
        <v>23</v>
      </c>
      <c r="L228" s="1" t="s">
        <v>225</v>
      </c>
      <c r="M228" s="1" t="s">
        <v>47</v>
      </c>
      <c r="N228" s="1" t="s">
        <v>26</v>
      </c>
      <c r="O228" s="1">
        <v>5000</v>
      </c>
      <c r="P228" s="3" t="str">
        <f>IF(Table1[[#This Row],[Designation]]="Line Operator","Line Operator", "Other")</f>
        <v>Line Operator</v>
      </c>
    </row>
    <row r="229" spans="1:16" ht="15.75" customHeight="1" x14ac:dyDescent="0.25">
      <c r="A229" s="1" t="s">
        <v>493</v>
      </c>
      <c r="B229" s="1" t="s">
        <v>494</v>
      </c>
      <c r="C229" s="1" t="s">
        <v>36</v>
      </c>
      <c r="D229" s="1" t="s">
        <v>18</v>
      </c>
      <c r="E229" s="1" t="s">
        <v>75</v>
      </c>
      <c r="F229" s="1" t="s">
        <v>31</v>
      </c>
      <c r="G229" s="8">
        <v>45459</v>
      </c>
      <c r="H229" s="1">
        <v>45279</v>
      </c>
      <c r="I229" s="1" t="s">
        <v>21</v>
      </c>
      <c r="J229" s="1" t="s">
        <v>22</v>
      </c>
      <c r="K229" s="1" t="s">
        <v>23</v>
      </c>
      <c r="L229" s="1" t="s">
        <v>220</v>
      </c>
      <c r="M229" s="1" t="s">
        <v>25</v>
      </c>
      <c r="N229" s="1" t="s">
        <v>26</v>
      </c>
      <c r="O229" s="1">
        <v>5000</v>
      </c>
      <c r="P229" s="3" t="str">
        <f>IF(Table1[[#This Row],[Designation]]="Line Operator","Line Operator", "Other")</f>
        <v>Line Operator</v>
      </c>
    </row>
    <row r="230" spans="1:16" ht="15.75" customHeight="1" x14ac:dyDescent="0.25">
      <c r="A230" s="1" t="s">
        <v>495</v>
      </c>
      <c r="B230" s="1" t="s">
        <v>496</v>
      </c>
      <c r="C230" s="1" t="s">
        <v>44</v>
      </c>
      <c r="D230" s="1" t="s">
        <v>18</v>
      </c>
      <c r="E230" s="1" t="s">
        <v>75</v>
      </c>
      <c r="F230" s="1" t="s">
        <v>31</v>
      </c>
      <c r="G230" s="8">
        <v>45459</v>
      </c>
      <c r="H230" s="1">
        <v>45279</v>
      </c>
      <c r="I230" s="1" t="s">
        <v>21</v>
      </c>
      <c r="J230" s="1" t="s">
        <v>22</v>
      </c>
      <c r="K230" s="1" t="s">
        <v>115</v>
      </c>
      <c r="L230" s="1" t="s">
        <v>225</v>
      </c>
      <c r="M230" s="1" t="s">
        <v>47</v>
      </c>
      <c r="N230" s="1" t="s">
        <v>26</v>
      </c>
      <c r="O230" s="1">
        <v>5000</v>
      </c>
      <c r="P230" s="3" t="str">
        <f>IF(Table1[[#This Row],[Designation]]="Line Operator","Line Operator", "Other")</f>
        <v>Line Operator</v>
      </c>
    </row>
    <row r="231" spans="1:16" ht="15.75" customHeight="1" x14ac:dyDescent="0.25">
      <c r="A231" s="1" t="s">
        <v>497</v>
      </c>
      <c r="B231" s="1" t="s">
        <v>498</v>
      </c>
      <c r="C231" s="1" t="s">
        <v>36</v>
      </c>
      <c r="D231" s="1" t="s">
        <v>18</v>
      </c>
      <c r="E231" s="1" t="s">
        <v>75</v>
      </c>
      <c r="F231" s="1" t="s">
        <v>31</v>
      </c>
      <c r="G231" s="8">
        <v>45459</v>
      </c>
      <c r="H231" s="1">
        <v>45279</v>
      </c>
      <c r="I231" s="1" t="s">
        <v>21</v>
      </c>
      <c r="J231" s="1" t="s">
        <v>22</v>
      </c>
      <c r="K231" s="1" t="s">
        <v>32</v>
      </c>
      <c r="L231" s="1" t="s">
        <v>220</v>
      </c>
      <c r="M231" s="1" t="s">
        <v>25</v>
      </c>
      <c r="N231" s="1" t="s">
        <v>26</v>
      </c>
      <c r="O231" s="1">
        <v>5000</v>
      </c>
      <c r="P231" s="3" t="str">
        <f>IF(Table1[[#This Row],[Designation]]="Line Operator","Line Operator", "Other")</f>
        <v>Line Operator</v>
      </c>
    </row>
    <row r="232" spans="1:16" ht="15.75" customHeight="1" x14ac:dyDescent="0.25">
      <c r="A232" s="1" t="s">
        <v>499</v>
      </c>
      <c r="B232" s="1" t="s">
        <v>500</v>
      </c>
      <c r="C232" s="1" t="s">
        <v>44</v>
      </c>
      <c r="D232" s="1" t="s">
        <v>18</v>
      </c>
      <c r="E232" s="1" t="s">
        <v>75</v>
      </c>
      <c r="F232" s="1" t="s">
        <v>31</v>
      </c>
      <c r="G232" s="8">
        <v>45460</v>
      </c>
      <c r="H232" s="1">
        <v>45280</v>
      </c>
      <c r="I232" s="1" t="s">
        <v>81</v>
      </c>
      <c r="J232" s="1" t="s">
        <v>22</v>
      </c>
      <c r="K232" s="1" t="s">
        <v>23</v>
      </c>
      <c r="L232" s="1" t="s">
        <v>96</v>
      </c>
      <c r="M232" s="1" t="s">
        <v>47</v>
      </c>
      <c r="N232" s="1" t="s">
        <v>26</v>
      </c>
      <c r="O232" s="1">
        <v>5000</v>
      </c>
      <c r="P232" s="3" t="str">
        <f>IF(Table1[[#This Row],[Designation]]="Line Operator","Line Operator", "Other")</f>
        <v>Line Operator</v>
      </c>
    </row>
    <row r="233" spans="1:16" ht="15.75" customHeight="1" x14ac:dyDescent="0.25">
      <c r="A233" s="1" t="s">
        <v>501</v>
      </c>
      <c r="B233" s="1" t="s">
        <v>502</v>
      </c>
      <c r="C233" s="1" t="s">
        <v>44</v>
      </c>
      <c r="D233" s="1" t="s">
        <v>18</v>
      </c>
      <c r="E233" s="1" t="s">
        <v>75</v>
      </c>
      <c r="F233" s="1" t="s">
        <v>31</v>
      </c>
      <c r="G233" s="8">
        <v>45460</v>
      </c>
      <c r="H233" s="1">
        <v>45280</v>
      </c>
      <c r="I233" s="1" t="s">
        <v>81</v>
      </c>
      <c r="J233" s="1" t="s">
        <v>22</v>
      </c>
      <c r="K233" s="1" t="s">
        <v>58</v>
      </c>
      <c r="L233" s="1" t="s">
        <v>24</v>
      </c>
      <c r="M233" s="1" t="s">
        <v>25</v>
      </c>
      <c r="N233" s="1" t="s">
        <v>26</v>
      </c>
      <c r="O233" s="1">
        <v>5000</v>
      </c>
      <c r="P233" s="3" t="str">
        <f>IF(Table1[[#This Row],[Designation]]="Line Operator","Line Operator", "Other")</f>
        <v>Line Operator</v>
      </c>
    </row>
    <row r="234" spans="1:16" ht="15.75" customHeight="1" x14ac:dyDescent="0.25">
      <c r="A234" s="1" t="s">
        <v>503</v>
      </c>
      <c r="B234" s="1" t="s">
        <v>504</v>
      </c>
      <c r="C234" s="1" t="s">
        <v>44</v>
      </c>
      <c r="D234" s="1" t="s">
        <v>18</v>
      </c>
      <c r="E234" s="1" t="s">
        <v>75</v>
      </c>
      <c r="F234" s="1" t="s">
        <v>31</v>
      </c>
      <c r="G234" s="8">
        <v>45460</v>
      </c>
      <c r="H234" s="1">
        <v>45280</v>
      </c>
      <c r="I234" s="1" t="s">
        <v>81</v>
      </c>
      <c r="J234" s="1" t="s">
        <v>22</v>
      </c>
      <c r="K234" s="1" t="s">
        <v>23</v>
      </c>
      <c r="L234" s="1" t="s">
        <v>24</v>
      </c>
      <c r="M234" s="1" t="s">
        <v>25</v>
      </c>
      <c r="N234" s="1" t="s">
        <v>26</v>
      </c>
      <c r="O234" s="1">
        <v>5000</v>
      </c>
      <c r="P234" s="3" t="str">
        <f>IF(Table1[[#This Row],[Designation]]="Line Operator","Line Operator", "Other")</f>
        <v>Line Operator</v>
      </c>
    </row>
    <row r="235" spans="1:16" ht="15.75" customHeight="1" x14ac:dyDescent="0.25">
      <c r="A235" s="1" t="s">
        <v>505</v>
      </c>
      <c r="B235" s="1" t="s">
        <v>506</v>
      </c>
      <c r="C235" s="1" t="s">
        <v>205</v>
      </c>
      <c r="D235" s="1" t="s">
        <v>18</v>
      </c>
      <c r="E235" s="1" t="s">
        <v>75</v>
      </c>
      <c r="F235" s="1" t="s">
        <v>31</v>
      </c>
      <c r="G235" s="8">
        <v>45460</v>
      </c>
      <c r="H235" s="1">
        <v>45280</v>
      </c>
      <c r="I235" s="1" t="s">
        <v>21</v>
      </c>
      <c r="J235" s="1" t="s">
        <v>22</v>
      </c>
      <c r="K235" s="1" t="s">
        <v>23</v>
      </c>
      <c r="L235" s="1" t="s">
        <v>24</v>
      </c>
      <c r="M235" s="1" t="s">
        <v>25</v>
      </c>
      <c r="N235" s="1" t="s">
        <v>26</v>
      </c>
      <c r="O235" s="1">
        <v>5000</v>
      </c>
      <c r="P235" s="3" t="str">
        <f>IF(Table1[[#This Row],[Designation]]="Line Operator","Line Operator", "Other")</f>
        <v>Line Operator</v>
      </c>
    </row>
    <row r="236" spans="1:16" ht="15.75" customHeight="1" x14ac:dyDescent="0.25">
      <c r="A236" s="1" t="s">
        <v>507</v>
      </c>
      <c r="B236" s="1" t="s">
        <v>508</v>
      </c>
      <c r="C236" s="1" t="s">
        <v>44</v>
      </c>
      <c r="D236" s="1" t="s">
        <v>18</v>
      </c>
      <c r="E236" s="1" t="s">
        <v>75</v>
      </c>
      <c r="F236" s="1" t="s">
        <v>31</v>
      </c>
      <c r="G236" s="8">
        <v>45460</v>
      </c>
      <c r="H236" s="1">
        <v>45280</v>
      </c>
      <c r="I236" s="1" t="s">
        <v>21</v>
      </c>
      <c r="J236" s="1" t="s">
        <v>22</v>
      </c>
      <c r="K236" s="1" t="s">
        <v>58</v>
      </c>
      <c r="L236" s="1" t="s">
        <v>465</v>
      </c>
      <c r="M236" s="1" t="s">
        <v>51</v>
      </c>
      <c r="N236" s="1" t="s">
        <v>26</v>
      </c>
      <c r="O236" s="1">
        <v>5000</v>
      </c>
      <c r="P236" s="3" t="str">
        <f>IF(Table1[[#This Row],[Designation]]="Line Operator","Line Operator", "Other")</f>
        <v>Line Operator</v>
      </c>
    </row>
    <row r="237" spans="1:16" ht="15.75" customHeight="1" x14ac:dyDescent="0.25">
      <c r="A237" s="1" t="s">
        <v>509</v>
      </c>
      <c r="B237" s="1" t="s">
        <v>510</v>
      </c>
      <c r="C237" s="1" t="s">
        <v>44</v>
      </c>
      <c r="D237" s="1" t="s">
        <v>18</v>
      </c>
      <c r="E237" s="1" t="s">
        <v>75</v>
      </c>
      <c r="F237" s="1" t="s">
        <v>31</v>
      </c>
      <c r="G237" s="8">
        <v>45460</v>
      </c>
      <c r="H237" s="1">
        <v>45280</v>
      </c>
      <c r="I237" s="1" t="s">
        <v>81</v>
      </c>
      <c r="J237" s="1" t="s">
        <v>37</v>
      </c>
      <c r="K237" s="1" t="s">
        <v>32</v>
      </c>
      <c r="L237" s="1" t="s">
        <v>24</v>
      </c>
      <c r="M237" s="1" t="s">
        <v>25</v>
      </c>
      <c r="N237" s="1" t="s">
        <v>26</v>
      </c>
      <c r="O237" s="1">
        <v>5000</v>
      </c>
      <c r="P237" s="3" t="str">
        <f>IF(Table1[[#This Row],[Designation]]="Line Operator","Line Operator", "Other")</f>
        <v>Line Operator</v>
      </c>
    </row>
    <row r="238" spans="1:16" ht="15.75" customHeight="1" x14ac:dyDescent="0.25">
      <c r="A238" s="1" t="s">
        <v>511</v>
      </c>
      <c r="B238" s="1" t="s">
        <v>512</v>
      </c>
      <c r="C238" s="1" t="s">
        <v>44</v>
      </c>
      <c r="D238" s="1" t="s">
        <v>18</v>
      </c>
      <c r="E238" s="1" t="s">
        <v>75</v>
      </c>
      <c r="F238" s="1" t="s">
        <v>31</v>
      </c>
      <c r="G238" s="8">
        <v>45460</v>
      </c>
      <c r="H238" s="1">
        <v>45280</v>
      </c>
      <c r="I238" s="1" t="s">
        <v>81</v>
      </c>
      <c r="J238" s="1" t="s">
        <v>22</v>
      </c>
      <c r="K238" s="1" t="s">
        <v>32</v>
      </c>
      <c r="L238" s="1" t="s">
        <v>191</v>
      </c>
      <c r="M238" s="1" t="s">
        <v>40</v>
      </c>
      <c r="N238" s="1" t="s">
        <v>26</v>
      </c>
      <c r="O238" s="1">
        <v>5000</v>
      </c>
      <c r="P238" s="3" t="str">
        <f>IF(Table1[[#This Row],[Designation]]="Line Operator","Line Operator", "Other")</f>
        <v>Line Operator</v>
      </c>
    </row>
    <row r="239" spans="1:16" ht="15.75" customHeight="1" x14ac:dyDescent="0.25">
      <c r="A239" s="1" t="s">
        <v>513</v>
      </c>
      <c r="B239" s="1" t="s">
        <v>514</v>
      </c>
      <c r="C239" s="1" t="s">
        <v>44</v>
      </c>
      <c r="D239" s="1" t="s">
        <v>18</v>
      </c>
      <c r="E239" s="1" t="s">
        <v>75</v>
      </c>
      <c r="F239" s="1" t="s">
        <v>31</v>
      </c>
      <c r="G239" s="8">
        <v>45460</v>
      </c>
      <c r="H239" s="1">
        <v>45280</v>
      </c>
      <c r="I239" s="1" t="s">
        <v>81</v>
      </c>
      <c r="J239" s="1" t="s">
        <v>22</v>
      </c>
      <c r="K239" s="1" t="s">
        <v>32</v>
      </c>
      <c r="L239" s="1" t="s">
        <v>220</v>
      </c>
      <c r="M239" s="1" t="s">
        <v>25</v>
      </c>
      <c r="N239" s="1" t="s">
        <v>26</v>
      </c>
      <c r="O239" s="1">
        <v>5000</v>
      </c>
      <c r="P239" s="3" t="str">
        <f>IF(Table1[[#This Row],[Designation]]="Line Operator","Line Operator", "Other")</f>
        <v>Line Operator</v>
      </c>
    </row>
    <row r="240" spans="1:16" ht="15.75" customHeight="1" x14ac:dyDescent="0.25">
      <c r="A240" s="1" t="s">
        <v>515</v>
      </c>
      <c r="B240" s="1" t="s">
        <v>516</v>
      </c>
      <c r="C240" s="1" t="s">
        <v>44</v>
      </c>
      <c r="D240" s="1" t="s">
        <v>18</v>
      </c>
      <c r="E240" s="1" t="s">
        <v>75</v>
      </c>
      <c r="F240" s="1" t="s">
        <v>31</v>
      </c>
      <c r="G240" s="8">
        <v>45460</v>
      </c>
      <c r="H240" s="1">
        <v>45280</v>
      </c>
      <c r="I240" s="1" t="s">
        <v>81</v>
      </c>
      <c r="J240" s="1" t="s">
        <v>37</v>
      </c>
      <c r="K240" s="1" t="s">
        <v>517</v>
      </c>
      <c r="L240" s="1" t="s">
        <v>518</v>
      </c>
      <c r="M240" s="1" t="s">
        <v>47</v>
      </c>
      <c r="N240" s="1" t="s">
        <v>26</v>
      </c>
      <c r="O240" s="1">
        <v>5000</v>
      </c>
      <c r="P240" s="3" t="str">
        <f>IF(Table1[[#This Row],[Designation]]="Line Operator","Line Operator", "Other")</f>
        <v>Line Operator</v>
      </c>
    </row>
    <row r="241" spans="1:16" ht="15.75" customHeight="1" x14ac:dyDescent="0.25">
      <c r="A241" s="1" t="s">
        <v>519</v>
      </c>
      <c r="B241" s="1" t="s">
        <v>520</v>
      </c>
      <c r="C241" s="1" t="s">
        <v>44</v>
      </c>
      <c r="D241" s="1" t="s">
        <v>18</v>
      </c>
      <c r="E241" s="1" t="s">
        <v>75</v>
      </c>
      <c r="F241" s="1" t="s">
        <v>31</v>
      </c>
      <c r="G241" s="8">
        <v>45460</v>
      </c>
      <c r="H241" s="1">
        <v>45280</v>
      </c>
      <c r="I241" s="1" t="s">
        <v>21</v>
      </c>
      <c r="J241" s="1" t="s">
        <v>22</v>
      </c>
      <c r="K241" s="1" t="s">
        <v>58</v>
      </c>
      <c r="L241" s="1" t="s">
        <v>96</v>
      </c>
      <c r="M241" s="1" t="s">
        <v>47</v>
      </c>
      <c r="N241" s="1" t="s">
        <v>26</v>
      </c>
      <c r="O241" s="1">
        <v>5000</v>
      </c>
      <c r="P241" s="3" t="str">
        <f>IF(Table1[[#This Row],[Designation]]="Line Operator","Line Operator", "Other")</f>
        <v>Line Operator</v>
      </c>
    </row>
    <row r="242" spans="1:16" ht="15.75" customHeight="1" x14ac:dyDescent="0.25">
      <c r="A242" s="1" t="s">
        <v>521</v>
      </c>
      <c r="B242" s="1" t="s">
        <v>522</v>
      </c>
      <c r="C242" s="1" t="s">
        <v>36</v>
      </c>
      <c r="D242" s="1" t="s">
        <v>18</v>
      </c>
      <c r="E242" s="1" t="s">
        <v>75</v>
      </c>
      <c r="F242" s="1" t="s">
        <v>31</v>
      </c>
      <c r="G242" s="8">
        <v>45460</v>
      </c>
      <c r="H242" s="1">
        <v>45280</v>
      </c>
      <c r="I242" s="1" t="s">
        <v>81</v>
      </c>
      <c r="J242" s="1" t="s">
        <v>37</v>
      </c>
      <c r="K242" s="1" t="s">
        <v>58</v>
      </c>
      <c r="L242" s="1" t="s">
        <v>24</v>
      </c>
      <c r="M242" s="1" t="s">
        <v>25</v>
      </c>
      <c r="N242" s="1" t="s">
        <v>26</v>
      </c>
      <c r="O242" s="1">
        <v>5000</v>
      </c>
      <c r="P242" s="3" t="str">
        <f>IF(Table1[[#This Row],[Designation]]="Line Operator","Line Operator", "Other")</f>
        <v>Line Operator</v>
      </c>
    </row>
    <row r="243" spans="1:16" ht="15.75" customHeight="1" x14ac:dyDescent="0.25">
      <c r="A243" s="1" t="s">
        <v>523</v>
      </c>
      <c r="B243" s="1" t="s">
        <v>524</v>
      </c>
      <c r="C243" s="1" t="s">
        <v>44</v>
      </c>
      <c r="D243" s="1" t="s">
        <v>18</v>
      </c>
      <c r="E243" s="1" t="s">
        <v>75</v>
      </c>
      <c r="F243" s="1" t="s">
        <v>31</v>
      </c>
      <c r="G243" s="8">
        <v>45460</v>
      </c>
      <c r="H243" s="1">
        <v>45280</v>
      </c>
      <c r="I243" s="1" t="s">
        <v>81</v>
      </c>
      <c r="J243" s="1" t="s">
        <v>22</v>
      </c>
      <c r="K243" s="1" t="s">
        <v>58</v>
      </c>
      <c r="L243" s="1" t="s">
        <v>24</v>
      </c>
      <c r="M243" s="1" t="s">
        <v>25</v>
      </c>
      <c r="N243" s="1" t="s">
        <v>26</v>
      </c>
      <c r="O243" s="1">
        <v>5000</v>
      </c>
      <c r="P243" s="3" t="str">
        <f>IF(Table1[[#This Row],[Designation]]="Line Operator","Line Operator", "Other")</f>
        <v>Line Operator</v>
      </c>
    </row>
    <row r="244" spans="1:16" ht="15.75" customHeight="1" x14ac:dyDescent="0.25">
      <c r="A244" s="1" t="s">
        <v>525</v>
      </c>
      <c r="B244" s="1" t="s">
        <v>526</v>
      </c>
      <c r="C244" s="1" t="s">
        <v>17</v>
      </c>
      <c r="D244" s="1" t="s">
        <v>18</v>
      </c>
      <c r="E244" s="1" t="s">
        <v>75</v>
      </c>
      <c r="F244" s="1" t="s">
        <v>31</v>
      </c>
      <c r="G244" s="8">
        <v>45460</v>
      </c>
      <c r="H244" s="1">
        <v>45280</v>
      </c>
      <c r="I244" s="1" t="s">
        <v>81</v>
      </c>
      <c r="J244" s="1" t="s">
        <v>22</v>
      </c>
      <c r="K244" s="1" t="s">
        <v>115</v>
      </c>
      <c r="L244" s="1" t="s">
        <v>220</v>
      </c>
      <c r="M244" s="1" t="s">
        <v>25</v>
      </c>
      <c r="N244" s="1" t="s">
        <v>26</v>
      </c>
      <c r="O244" s="1">
        <v>5000</v>
      </c>
      <c r="P244" s="3" t="str">
        <f>IF(Table1[[#This Row],[Designation]]="Line Operator","Line Operator", "Other")</f>
        <v>Line Operator</v>
      </c>
    </row>
    <row r="245" spans="1:16" ht="15.75" customHeight="1" x14ac:dyDescent="0.25">
      <c r="A245" s="1" t="s">
        <v>527</v>
      </c>
      <c r="B245" s="1" t="s">
        <v>528</v>
      </c>
      <c r="C245" s="1" t="s">
        <v>44</v>
      </c>
      <c r="D245" s="1" t="s">
        <v>18</v>
      </c>
      <c r="E245" s="1" t="s">
        <v>75</v>
      </c>
      <c r="F245" s="1" t="s">
        <v>31</v>
      </c>
      <c r="G245" s="8">
        <v>45460</v>
      </c>
      <c r="H245" s="1">
        <v>45280</v>
      </c>
      <c r="I245" s="1" t="s">
        <v>21</v>
      </c>
      <c r="J245" s="1" t="s">
        <v>22</v>
      </c>
      <c r="K245" s="1" t="s">
        <v>23</v>
      </c>
      <c r="L245" s="1" t="s">
        <v>96</v>
      </c>
      <c r="M245" s="1" t="s">
        <v>47</v>
      </c>
      <c r="N245" s="1" t="s">
        <v>26</v>
      </c>
      <c r="O245" s="1">
        <v>5000</v>
      </c>
      <c r="P245" s="3" t="str">
        <f>IF(Table1[[#This Row],[Designation]]="Line Operator","Line Operator", "Other")</f>
        <v>Line Operator</v>
      </c>
    </row>
    <row r="246" spans="1:16" ht="15.75" customHeight="1" x14ac:dyDescent="0.25">
      <c r="A246" s="1" t="s">
        <v>529</v>
      </c>
      <c r="B246" s="1" t="s">
        <v>530</v>
      </c>
      <c r="C246" s="1" t="s">
        <v>44</v>
      </c>
      <c r="D246" s="1" t="s">
        <v>18</v>
      </c>
      <c r="E246" s="1" t="s">
        <v>75</v>
      </c>
      <c r="F246" s="1" t="s">
        <v>31</v>
      </c>
      <c r="G246" s="8">
        <v>45461</v>
      </c>
      <c r="H246" s="1">
        <v>45281</v>
      </c>
      <c r="I246" s="1" t="s">
        <v>21</v>
      </c>
      <c r="J246" s="1" t="s">
        <v>22</v>
      </c>
      <c r="K246" s="1" t="s">
        <v>38</v>
      </c>
      <c r="L246" s="1" t="s">
        <v>24</v>
      </c>
      <c r="M246" s="1" t="s">
        <v>25</v>
      </c>
      <c r="N246" s="1" t="s">
        <v>26</v>
      </c>
      <c r="O246" s="1">
        <v>5000</v>
      </c>
      <c r="P246" s="3" t="str">
        <f>IF(Table1[[#This Row],[Designation]]="Line Operator","Line Operator", "Other")</f>
        <v>Line Operator</v>
      </c>
    </row>
    <row r="247" spans="1:16" ht="15.75" customHeight="1" x14ac:dyDescent="0.25">
      <c r="A247" s="1" t="s">
        <v>531</v>
      </c>
      <c r="B247" s="1" t="s">
        <v>532</v>
      </c>
      <c r="C247" s="1" t="s">
        <v>36</v>
      </c>
      <c r="D247" s="1" t="s">
        <v>18</v>
      </c>
      <c r="E247" s="1" t="s">
        <v>75</v>
      </c>
      <c r="F247" s="1" t="s">
        <v>31</v>
      </c>
      <c r="G247" s="8">
        <v>45461</v>
      </c>
      <c r="H247" s="1">
        <v>45281</v>
      </c>
      <c r="I247" s="1" t="s">
        <v>81</v>
      </c>
      <c r="J247" s="1" t="s">
        <v>22</v>
      </c>
      <c r="K247" s="1" t="s">
        <v>58</v>
      </c>
      <c r="L247" s="1" t="s">
        <v>96</v>
      </c>
      <c r="M247" s="1" t="s">
        <v>47</v>
      </c>
      <c r="N247" s="1" t="s">
        <v>26</v>
      </c>
      <c r="O247" s="1">
        <v>5000</v>
      </c>
      <c r="P247" s="3" t="str">
        <f>IF(Table1[[#This Row],[Designation]]="Line Operator","Line Operator", "Other")</f>
        <v>Line Operator</v>
      </c>
    </row>
    <row r="248" spans="1:16" ht="15.75" customHeight="1" x14ac:dyDescent="0.25">
      <c r="A248" s="1" t="s">
        <v>533</v>
      </c>
      <c r="B248" s="1" t="s">
        <v>534</v>
      </c>
      <c r="C248" s="1" t="s">
        <v>44</v>
      </c>
      <c r="D248" s="1" t="s">
        <v>18</v>
      </c>
      <c r="E248" s="1" t="s">
        <v>75</v>
      </c>
      <c r="F248" s="1" t="s">
        <v>31</v>
      </c>
      <c r="G248" s="8">
        <v>45461</v>
      </c>
      <c r="H248" s="1">
        <v>45281</v>
      </c>
      <c r="I248" s="1" t="s">
        <v>81</v>
      </c>
      <c r="J248" s="1" t="s">
        <v>22</v>
      </c>
      <c r="K248" s="1" t="s">
        <v>38</v>
      </c>
      <c r="L248" s="1" t="s">
        <v>96</v>
      </c>
      <c r="M248" s="1" t="s">
        <v>47</v>
      </c>
      <c r="N248" s="1" t="s">
        <v>26</v>
      </c>
      <c r="O248" s="1">
        <v>5000</v>
      </c>
      <c r="P248" s="3" t="str">
        <f>IF(Table1[[#This Row],[Designation]]="Line Operator","Line Operator", "Other")</f>
        <v>Line Operator</v>
      </c>
    </row>
    <row r="249" spans="1:16" ht="15.75" customHeight="1" x14ac:dyDescent="0.25">
      <c r="A249" s="1" t="s">
        <v>535</v>
      </c>
      <c r="B249" s="1" t="s">
        <v>536</v>
      </c>
      <c r="C249" s="1" t="s">
        <v>44</v>
      </c>
      <c r="D249" s="1" t="s">
        <v>18</v>
      </c>
      <c r="E249" s="1" t="s">
        <v>75</v>
      </c>
      <c r="F249" s="1" t="s">
        <v>31</v>
      </c>
      <c r="G249" s="8">
        <v>45461</v>
      </c>
      <c r="H249" s="1">
        <v>45281</v>
      </c>
      <c r="I249" s="1" t="s">
        <v>21</v>
      </c>
      <c r="J249" s="1" t="s">
        <v>22</v>
      </c>
      <c r="K249" s="1" t="s">
        <v>23</v>
      </c>
      <c r="L249" s="1" t="s">
        <v>39</v>
      </c>
      <c r="M249" s="1" t="s">
        <v>40</v>
      </c>
      <c r="N249" s="1" t="s">
        <v>26</v>
      </c>
      <c r="O249" s="1">
        <v>5000</v>
      </c>
      <c r="P249" s="3" t="str">
        <f>IF(Table1[[#This Row],[Designation]]="Line Operator","Line Operator", "Other")</f>
        <v>Line Operator</v>
      </c>
    </row>
    <row r="250" spans="1:16" ht="15.75" customHeight="1" x14ac:dyDescent="0.25">
      <c r="A250" s="1" t="s">
        <v>537</v>
      </c>
      <c r="B250" s="1" t="s">
        <v>538</v>
      </c>
      <c r="C250" s="1" t="s">
        <v>17</v>
      </c>
      <c r="D250" s="1" t="s">
        <v>18</v>
      </c>
      <c r="E250" s="1" t="s">
        <v>75</v>
      </c>
      <c r="F250" s="1" t="s">
        <v>31</v>
      </c>
      <c r="G250" s="8">
        <v>45461</v>
      </c>
      <c r="H250" s="1">
        <v>45281</v>
      </c>
      <c r="I250" s="1" t="s">
        <v>81</v>
      </c>
      <c r="J250" s="1" t="s">
        <v>22</v>
      </c>
      <c r="K250" s="1" t="s">
        <v>32</v>
      </c>
      <c r="L250" s="1" t="s">
        <v>220</v>
      </c>
      <c r="M250" s="1" t="s">
        <v>25</v>
      </c>
      <c r="N250" s="1" t="s">
        <v>26</v>
      </c>
      <c r="O250" s="1">
        <v>5000</v>
      </c>
      <c r="P250" s="3" t="str">
        <f>IF(Table1[[#This Row],[Designation]]="Line Operator","Line Operator", "Other")</f>
        <v>Line Operator</v>
      </c>
    </row>
    <row r="251" spans="1:16" ht="15.75" customHeight="1" x14ac:dyDescent="0.25">
      <c r="A251" s="1" t="s">
        <v>539</v>
      </c>
      <c r="B251" s="1" t="s">
        <v>540</v>
      </c>
      <c r="C251" s="1" t="s">
        <v>36</v>
      </c>
      <c r="D251" s="1" t="s">
        <v>18</v>
      </c>
      <c r="E251" s="1" t="s">
        <v>75</v>
      </c>
      <c r="F251" s="1" t="s">
        <v>31</v>
      </c>
      <c r="G251" s="8">
        <v>45461</v>
      </c>
      <c r="H251" s="1">
        <v>45281</v>
      </c>
      <c r="I251" s="1" t="s">
        <v>81</v>
      </c>
      <c r="J251" s="1" t="s">
        <v>22</v>
      </c>
      <c r="K251" s="1" t="s">
        <v>23</v>
      </c>
      <c r="L251" s="1" t="s">
        <v>124</v>
      </c>
      <c r="M251" s="1" t="s">
        <v>47</v>
      </c>
      <c r="N251" s="1" t="s">
        <v>26</v>
      </c>
      <c r="O251" s="1">
        <v>5000</v>
      </c>
      <c r="P251" s="3" t="str">
        <f>IF(Table1[[#This Row],[Designation]]="Line Operator","Line Operator", "Other")</f>
        <v>Line Operator</v>
      </c>
    </row>
    <row r="252" spans="1:16" ht="15.75" customHeight="1" x14ac:dyDescent="0.25">
      <c r="A252" s="1" t="s">
        <v>541</v>
      </c>
      <c r="B252" s="1" t="s">
        <v>542</v>
      </c>
      <c r="C252" s="1" t="s">
        <v>44</v>
      </c>
      <c r="D252" s="1" t="s">
        <v>18</v>
      </c>
      <c r="E252" s="1" t="s">
        <v>75</v>
      </c>
      <c r="F252" s="1" t="s">
        <v>31</v>
      </c>
      <c r="G252" s="8">
        <v>45461</v>
      </c>
      <c r="H252" s="1">
        <v>45281</v>
      </c>
      <c r="I252" s="1" t="s">
        <v>21</v>
      </c>
      <c r="J252" s="1" t="s">
        <v>22</v>
      </c>
      <c r="K252" s="1" t="s">
        <v>115</v>
      </c>
      <c r="L252" s="1" t="s">
        <v>96</v>
      </c>
      <c r="M252" s="1" t="s">
        <v>47</v>
      </c>
      <c r="N252" s="1" t="s">
        <v>26</v>
      </c>
      <c r="O252" s="1">
        <v>5000</v>
      </c>
      <c r="P252" s="3" t="str">
        <f>IF(Table1[[#This Row],[Designation]]="Line Operator","Line Operator", "Other")</f>
        <v>Line Operator</v>
      </c>
    </row>
    <row r="253" spans="1:16" ht="15.75" customHeight="1" x14ac:dyDescent="0.25">
      <c r="A253" s="1" t="s">
        <v>543</v>
      </c>
      <c r="B253" s="1" t="s">
        <v>544</v>
      </c>
      <c r="C253" s="1" t="s">
        <v>44</v>
      </c>
      <c r="D253" s="1" t="s">
        <v>18</v>
      </c>
      <c r="E253" s="1" t="s">
        <v>75</v>
      </c>
      <c r="F253" s="1" t="s">
        <v>31</v>
      </c>
      <c r="G253" s="8">
        <v>45461</v>
      </c>
      <c r="H253" s="1">
        <v>45281</v>
      </c>
      <c r="I253" s="1" t="s">
        <v>21</v>
      </c>
      <c r="J253" s="1" t="s">
        <v>22</v>
      </c>
      <c r="K253" s="1" t="s">
        <v>23</v>
      </c>
      <c r="L253" s="1" t="s">
        <v>96</v>
      </c>
      <c r="M253" s="1" t="s">
        <v>47</v>
      </c>
      <c r="N253" s="1" t="s">
        <v>26</v>
      </c>
      <c r="O253" s="1">
        <v>5000</v>
      </c>
      <c r="P253" s="3" t="str">
        <f>IF(Table1[[#This Row],[Designation]]="Line Operator","Line Operator", "Other")</f>
        <v>Line Operator</v>
      </c>
    </row>
    <row r="254" spans="1:16" ht="15.75" customHeight="1" x14ac:dyDescent="0.25">
      <c r="A254" s="1" t="s">
        <v>545</v>
      </c>
      <c r="B254" s="1" t="s">
        <v>546</v>
      </c>
      <c r="C254" s="1" t="s">
        <v>44</v>
      </c>
      <c r="D254" s="1" t="s">
        <v>18</v>
      </c>
      <c r="E254" s="1" t="s">
        <v>75</v>
      </c>
      <c r="F254" s="1" t="s">
        <v>31</v>
      </c>
      <c r="G254" s="8">
        <v>45463</v>
      </c>
      <c r="H254" s="1">
        <v>45283</v>
      </c>
      <c r="I254" s="1" t="s">
        <v>81</v>
      </c>
      <c r="J254" s="1" t="s">
        <v>22</v>
      </c>
      <c r="K254" s="1" t="s">
        <v>32</v>
      </c>
      <c r="L254" s="1" t="s">
        <v>124</v>
      </c>
      <c r="M254" s="1" t="s">
        <v>47</v>
      </c>
      <c r="N254" s="1" t="s">
        <v>26</v>
      </c>
      <c r="O254" s="1">
        <v>5000</v>
      </c>
      <c r="P254" s="3" t="str">
        <f>IF(Table1[[#This Row],[Designation]]="Line Operator","Line Operator", "Other")</f>
        <v>Line Operator</v>
      </c>
    </row>
    <row r="255" spans="1:16" ht="15.75" customHeight="1" x14ac:dyDescent="0.25">
      <c r="A255" s="1" t="s">
        <v>547</v>
      </c>
      <c r="B255" s="1" t="s">
        <v>548</v>
      </c>
      <c r="C255" s="1" t="s">
        <v>44</v>
      </c>
      <c r="D255" s="1" t="s">
        <v>18</v>
      </c>
      <c r="E255" s="1" t="s">
        <v>75</v>
      </c>
      <c r="F255" s="1" t="s">
        <v>31</v>
      </c>
      <c r="G255" s="8">
        <v>45463</v>
      </c>
      <c r="H255" s="1">
        <v>45283</v>
      </c>
      <c r="I255" s="1" t="s">
        <v>81</v>
      </c>
      <c r="J255" s="1" t="s">
        <v>37</v>
      </c>
      <c r="K255" s="1" t="s">
        <v>58</v>
      </c>
      <c r="L255" s="1" t="s">
        <v>24</v>
      </c>
      <c r="M255" s="1" t="s">
        <v>25</v>
      </c>
      <c r="N255" s="1" t="s">
        <v>26</v>
      </c>
      <c r="O255" s="1">
        <v>5000</v>
      </c>
      <c r="P255" s="3" t="str">
        <f>IF(Table1[[#This Row],[Designation]]="Line Operator","Line Operator", "Other")</f>
        <v>Line Operator</v>
      </c>
    </row>
    <row r="256" spans="1:16" ht="15.75" customHeight="1" x14ac:dyDescent="0.25">
      <c r="A256" s="1" t="s">
        <v>549</v>
      </c>
      <c r="B256" s="1" t="s">
        <v>550</v>
      </c>
      <c r="C256" s="1" t="s">
        <v>36</v>
      </c>
      <c r="D256" s="1" t="s">
        <v>18</v>
      </c>
      <c r="E256" s="1" t="s">
        <v>75</v>
      </c>
      <c r="F256" s="1" t="s">
        <v>31</v>
      </c>
      <c r="G256" s="8">
        <v>45463</v>
      </c>
      <c r="H256" s="1">
        <v>45283</v>
      </c>
      <c r="I256" s="1" t="s">
        <v>21</v>
      </c>
      <c r="J256" s="1" t="s">
        <v>22</v>
      </c>
      <c r="K256" s="1" t="s">
        <v>32</v>
      </c>
      <c r="L256" s="1" t="s">
        <v>24</v>
      </c>
      <c r="M256" s="1" t="s">
        <v>25</v>
      </c>
      <c r="N256" s="1" t="s">
        <v>26</v>
      </c>
      <c r="O256" s="1">
        <v>5000</v>
      </c>
      <c r="P256" s="3" t="str">
        <f>IF(Table1[[#This Row],[Designation]]="Line Operator","Line Operator", "Other")</f>
        <v>Line Operator</v>
      </c>
    </row>
    <row r="257" spans="1:16" ht="15.75" customHeight="1" x14ac:dyDescent="0.25">
      <c r="A257" s="1" t="s">
        <v>551</v>
      </c>
      <c r="B257" s="1" t="s">
        <v>552</v>
      </c>
      <c r="C257" s="1" t="s">
        <v>44</v>
      </c>
      <c r="D257" s="1" t="s">
        <v>18</v>
      </c>
      <c r="E257" s="1" t="s">
        <v>75</v>
      </c>
      <c r="F257" s="1" t="s">
        <v>31</v>
      </c>
      <c r="G257" s="8">
        <v>45463</v>
      </c>
      <c r="H257" s="1">
        <v>45283</v>
      </c>
      <c r="I257" s="1" t="s">
        <v>21</v>
      </c>
      <c r="J257" s="1" t="s">
        <v>37</v>
      </c>
      <c r="K257" s="1" t="s">
        <v>32</v>
      </c>
      <c r="L257" s="1" t="s">
        <v>24</v>
      </c>
      <c r="M257" s="1" t="s">
        <v>25</v>
      </c>
      <c r="N257" s="1" t="s">
        <v>26</v>
      </c>
      <c r="O257" s="1">
        <v>5000</v>
      </c>
      <c r="P257" s="3" t="str">
        <f>IF(Table1[[#This Row],[Designation]]="Line Operator","Line Operator", "Other")</f>
        <v>Line Operator</v>
      </c>
    </row>
    <row r="258" spans="1:16" ht="15.75" customHeight="1" x14ac:dyDescent="0.25">
      <c r="A258" s="1" t="s">
        <v>553</v>
      </c>
      <c r="B258" s="1" t="s">
        <v>554</v>
      </c>
      <c r="C258" s="1" t="s">
        <v>17</v>
      </c>
      <c r="D258" s="1" t="s">
        <v>18</v>
      </c>
      <c r="E258" s="1" t="s">
        <v>75</v>
      </c>
      <c r="F258" s="1" t="s">
        <v>31</v>
      </c>
      <c r="G258" s="8">
        <v>45463</v>
      </c>
      <c r="H258" s="1">
        <v>45283</v>
      </c>
      <c r="I258" s="1" t="s">
        <v>21</v>
      </c>
      <c r="J258" s="1" t="s">
        <v>22</v>
      </c>
      <c r="K258" s="1" t="s">
        <v>38</v>
      </c>
      <c r="L258" s="1" t="s">
        <v>465</v>
      </c>
      <c r="M258" s="1" t="s">
        <v>51</v>
      </c>
      <c r="N258" s="1" t="s">
        <v>26</v>
      </c>
      <c r="O258" s="1">
        <v>5000</v>
      </c>
      <c r="P258" s="3" t="str">
        <f>IF(Table1[[#This Row],[Designation]]="Line Operator","Line Operator", "Other")</f>
        <v>Line Operator</v>
      </c>
    </row>
    <row r="259" spans="1:16" ht="15.75" customHeight="1" x14ac:dyDescent="0.25">
      <c r="A259" s="1" t="s">
        <v>555</v>
      </c>
      <c r="B259" s="1" t="s">
        <v>556</v>
      </c>
      <c r="C259" s="1" t="s">
        <v>44</v>
      </c>
      <c r="D259" s="1" t="s">
        <v>202</v>
      </c>
      <c r="E259" s="1" t="s">
        <v>75</v>
      </c>
      <c r="F259" s="1" t="s">
        <v>31</v>
      </c>
      <c r="G259" s="8">
        <v>45463</v>
      </c>
      <c r="H259" s="1">
        <v>45283</v>
      </c>
      <c r="I259" s="1" t="s">
        <v>21</v>
      </c>
      <c r="J259" s="1" t="s">
        <v>37</v>
      </c>
      <c r="K259" s="1" t="s">
        <v>38</v>
      </c>
      <c r="L259" s="1" t="s">
        <v>24</v>
      </c>
      <c r="M259" s="1" t="s">
        <v>25</v>
      </c>
      <c r="N259" s="1" t="s">
        <v>26</v>
      </c>
      <c r="O259" s="1">
        <v>5000</v>
      </c>
      <c r="P259" s="3" t="str">
        <f>IF(Table1[[#This Row],[Designation]]="Line Operator","Line Operator", "Other")</f>
        <v>Other</v>
      </c>
    </row>
    <row r="260" spans="1:16" ht="15.75" customHeight="1" x14ac:dyDescent="0.25">
      <c r="A260" s="1" t="s">
        <v>557</v>
      </c>
      <c r="B260" s="1" t="s">
        <v>558</v>
      </c>
      <c r="C260" s="1" t="s">
        <v>205</v>
      </c>
      <c r="D260" s="1" t="s">
        <v>202</v>
      </c>
      <c r="E260" s="1" t="s">
        <v>75</v>
      </c>
      <c r="F260" s="1" t="s">
        <v>31</v>
      </c>
      <c r="G260" s="8">
        <v>45463</v>
      </c>
      <c r="H260" s="1">
        <v>45283</v>
      </c>
      <c r="I260" s="1" t="s">
        <v>21</v>
      </c>
      <c r="J260" s="1" t="s">
        <v>22</v>
      </c>
      <c r="K260" s="1" t="s">
        <v>38</v>
      </c>
      <c r="L260" s="1" t="s">
        <v>24</v>
      </c>
      <c r="M260" s="1" t="s">
        <v>25</v>
      </c>
      <c r="N260" s="1" t="s">
        <v>26</v>
      </c>
      <c r="O260" s="1">
        <v>5000</v>
      </c>
      <c r="P260" s="3" t="str">
        <f>IF(Table1[[#This Row],[Designation]]="Line Operator","Line Operator", "Other")</f>
        <v>Other</v>
      </c>
    </row>
    <row r="261" spans="1:16" ht="15.75" customHeight="1" x14ac:dyDescent="0.25">
      <c r="A261" s="1" t="s">
        <v>559</v>
      </c>
      <c r="B261" s="1" t="s">
        <v>560</v>
      </c>
      <c r="C261" s="1" t="s">
        <v>44</v>
      </c>
      <c r="D261" s="1" t="s">
        <v>18</v>
      </c>
      <c r="E261" s="1" t="s">
        <v>75</v>
      </c>
      <c r="F261" s="1" t="s">
        <v>31</v>
      </c>
      <c r="G261" s="8">
        <v>45463</v>
      </c>
      <c r="H261" s="1">
        <v>45283</v>
      </c>
      <c r="I261" s="1" t="s">
        <v>21</v>
      </c>
      <c r="J261" s="1" t="s">
        <v>22</v>
      </c>
      <c r="K261" s="1" t="s">
        <v>38</v>
      </c>
      <c r="L261" s="1" t="s">
        <v>220</v>
      </c>
      <c r="M261" s="1" t="s">
        <v>25</v>
      </c>
      <c r="N261" s="1" t="s">
        <v>26</v>
      </c>
      <c r="O261" s="1">
        <v>5000</v>
      </c>
      <c r="P261" s="3" t="str">
        <f>IF(Table1[[#This Row],[Designation]]="Line Operator","Line Operator", "Other")</f>
        <v>Line Operator</v>
      </c>
    </row>
    <row r="262" spans="1:16" ht="15.75" customHeight="1" x14ac:dyDescent="0.25">
      <c r="A262" s="1" t="s">
        <v>561</v>
      </c>
      <c r="B262" s="1" t="s">
        <v>562</v>
      </c>
      <c r="C262" s="1" t="s">
        <v>44</v>
      </c>
      <c r="D262" s="1" t="s">
        <v>18</v>
      </c>
      <c r="E262" s="1" t="s">
        <v>75</v>
      </c>
      <c r="F262" s="1" t="s">
        <v>31</v>
      </c>
      <c r="G262" s="8">
        <v>45463</v>
      </c>
      <c r="H262" s="1">
        <v>45283</v>
      </c>
      <c r="I262" s="1" t="s">
        <v>21</v>
      </c>
      <c r="J262" s="1" t="s">
        <v>22</v>
      </c>
      <c r="K262" s="1" t="s">
        <v>23</v>
      </c>
      <c r="L262" s="1" t="s">
        <v>24</v>
      </c>
      <c r="M262" s="1" t="s">
        <v>25</v>
      </c>
      <c r="N262" s="1" t="s">
        <v>26</v>
      </c>
      <c r="O262" s="1">
        <v>5000</v>
      </c>
      <c r="P262" s="3" t="str">
        <f>IF(Table1[[#This Row],[Designation]]="Line Operator","Line Operator", "Other")</f>
        <v>Line Operator</v>
      </c>
    </row>
    <row r="263" spans="1:16" ht="15.75" customHeight="1" x14ac:dyDescent="0.25">
      <c r="A263" s="1" t="s">
        <v>563</v>
      </c>
      <c r="B263" s="1" t="s">
        <v>564</v>
      </c>
      <c r="C263" s="1" t="s">
        <v>36</v>
      </c>
      <c r="D263" s="1" t="s">
        <v>18</v>
      </c>
      <c r="E263" s="1" t="s">
        <v>75</v>
      </c>
      <c r="F263" s="1" t="s">
        <v>31</v>
      </c>
      <c r="G263" s="8">
        <v>45463</v>
      </c>
      <c r="H263" s="1">
        <v>45283</v>
      </c>
      <c r="I263" s="1" t="s">
        <v>21</v>
      </c>
      <c r="J263" s="1" t="s">
        <v>22</v>
      </c>
      <c r="K263" s="1" t="s">
        <v>23</v>
      </c>
      <c r="L263" s="1" t="s">
        <v>69</v>
      </c>
      <c r="M263" s="1" t="s">
        <v>40</v>
      </c>
      <c r="N263" s="1" t="s">
        <v>26</v>
      </c>
      <c r="O263" s="1">
        <v>5000</v>
      </c>
      <c r="P263" s="3" t="str">
        <f>IF(Table1[[#This Row],[Designation]]="Line Operator","Line Operator", "Other")</f>
        <v>Line Operator</v>
      </c>
    </row>
    <row r="264" spans="1:16" ht="15.75" customHeight="1" x14ac:dyDescent="0.25">
      <c r="A264" s="1" t="s">
        <v>565</v>
      </c>
      <c r="B264" s="1" t="s">
        <v>566</v>
      </c>
      <c r="C264" s="1" t="s">
        <v>36</v>
      </c>
      <c r="D264" s="1" t="s">
        <v>18</v>
      </c>
      <c r="E264" s="1" t="s">
        <v>75</v>
      </c>
      <c r="F264" s="1" t="s">
        <v>31</v>
      </c>
      <c r="G264" s="8">
        <v>45463</v>
      </c>
      <c r="H264" s="1">
        <v>45283</v>
      </c>
      <c r="I264" s="1" t="s">
        <v>21</v>
      </c>
      <c r="J264" s="1" t="s">
        <v>22</v>
      </c>
      <c r="K264" s="1" t="s">
        <v>58</v>
      </c>
      <c r="L264" s="1" t="s">
        <v>24</v>
      </c>
      <c r="M264" s="1" t="s">
        <v>25</v>
      </c>
      <c r="N264" s="1" t="s">
        <v>26</v>
      </c>
      <c r="O264" s="1">
        <v>5000</v>
      </c>
      <c r="P264" s="3" t="str">
        <f>IF(Table1[[#This Row],[Designation]]="Line Operator","Line Operator", "Other")</f>
        <v>Line Operator</v>
      </c>
    </row>
    <row r="265" spans="1:16" ht="15.75" customHeight="1" x14ac:dyDescent="0.25">
      <c r="A265" s="1" t="s">
        <v>567</v>
      </c>
      <c r="B265" s="1" t="s">
        <v>568</v>
      </c>
      <c r="C265" s="1" t="s">
        <v>44</v>
      </c>
      <c r="D265" s="1" t="s">
        <v>18</v>
      </c>
      <c r="E265" s="1" t="s">
        <v>75</v>
      </c>
      <c r="F265" s="1" t="s">
        <v>31</v>
      </c>
      <c r="G265" s="8">
        <v>45464</v>
      </c>
      <c r="H265" s="1">
        <v>45284</v>
      </c>
      <c r="I265" s="1" t="s">
        <v>81</v>
      </c>
      <c r="J265" s="1" t="s">
        <v>37</v>
      </c>
      <c r="K265" s="1" t="s">
        <v>23</v>
      </c>
      <c r="L265" s="1" t="s">
        <v>96</v>
      </c>
      <c r="M265" s="1" t="s">
        <v>47</v>
      </c>
      <c r="N265" s="1" t="s">
        <v>26</v>
      </c>
      <c r="O265" s="1">
        <v>27000</v>
      </c>
      <c r="P265" s="3" t="str">
        <f>IF(Table1[[#This Row],[Designation]]="Line Operator","Line Operator", "Other")</f>
        <v>Line Operator</v>
      </c>
    </row>
    <row r="266" spans="1:16" ht="15.75" customHeight="1" x14ac:dyDescent="0.25">
      <c r="A266" s="1" t="s">
        <v>569</v>
      </c>
      <c r="B266" s="1" t="s">
        <v>570</v>
      </c>
      <c r="C266" s="1" t="s">
        <v>36</v>
      </c>
      <c r="D266" s="1" t="s">
        <v>18</v>
      </c>
      <c r="E266" s="1" t="s">
        <v>75</v>
      </c>
      <c r="F266" s="1" t="s">
        <v>31</v>
      </c>
      <c r="G266" s="8">
        <v>45464</v>
      </c>
      <c r="H266" s="1">
        <v>45284</v>
      </c>
      <c r="I266" s="1" t="s">
        <v>21</v>
      </c>
      <c r="J266" s="1" t="s">
        <v>22</v>
      </c>
      <c r="K266" s="1" t="s">
        <v>38</v>
      </c>
      <c r="L266" s="1" t="s">
        <v>225</v>
      </c>
      <c r="M266" s="1" t="s">
        <v>47</v>
      </c>
      <c r="N266" s="1" t="s">
        <v>26</v>
      </c>
      <c r="O266" s="1">
        <v>27000</v>
      </c>
      <c r="P266" s="3" t="str">
        <f>IF(Table1[[#This Row],[Designation]]="Line Operator","Line Operator", "Other")</f>
        <v>Line Operator</v>
      </c>
    </row>
    <row r="267" spans="1:16" ht="15.75" customHeight="1" x14ac:dyDescent="0.25">
      <c r="A267" s="1" t="s">
        <v>571</v>
      </c>
      <c r="B267" s="1" t="s">
        <v>572</v>
      </c>
      <c r="C267" s="1" t="s">
        <v>205</v>
      </c>
      <c r="D267" s="1" t="s">
        <v>18</v>
      </c>
      <c r="E267" s="1" t="s">
        <v>75</v>
      </c>
      <c r="F267" s="1" t="s">
        <v>31</v>
      </c>
      <c r="G267" s="8">
        <v>45464</v>
      </c>
      <c r="H267" s="1">
        <v>45284</v>
      </c>
      <c r="I267" s="1" t="s">
        <v>21</v>
      </c>
      <c r="J267" s="1" t="s">
        <v>22</v>
      </c>
      <c r="K267" s="1" t="s">
        <v>23</v>
      </c>
      <c r="L267" s="1" t="s">
        <v>24</v>
      </c>
      <c r="M267" s="1" t="s">
        <v>25</v>
      </c>
      <c r="N267" s="1" t="s">
        <v>26</v>
      </c>
      <c r="O267" s="1">
        <v>27000</v>
      </c>
      <c r="P267" s="3" t="str">
        <f>IF(Table1[[#This Row],[Designation]]="Line Operator","Line Operator", "Other")</f>
        <v>Line Operator</v>
      </c>
    </row>
    <row r="268" spans="1:16" ht="15.75" customHeight="1" x14ac:dyDescent="0.25">
      <c r="A268" s="1" t="s">
        <v>573</v>
      </c>
      <c r="B268" s="1" t="s">
        <v>574</v>
      </c>
      <c r="C268" s="1" t="s">
        <v>44</v>
      </c>
      <c r="D268" s="1" t="s">
        <v>18</v>
      </c>
      <c r="E268" s="1" t="s">
        <v>75</v>
      </c>
      <c r="F268" s="1" t="s">
        <v>31</v>
      </c>
      <c r="G268" s="8">
        <v>45464</v>
      </c>
      <c r="H268" s="1">
        <v>45284</v>
      </c>
      <c r="I268" s="1" t="s">
        <v>21</v>
      </c>
      <c r="J268" s="1" t="s">
        <v>22</v>
      </c>
      <c r="K268" s="1" t="s">
        <v>32</v>
      </c>
      <c r="L268" s="1" t="s">
        <v>96</v>
      </c>
      <c r="M268" s="1" t="s">
        <v>47</v>
      </c>
      <c r="N268" s="1" t="s">
        <v>26</v>
      </c>
      <c r="O268" s="1">
        <v>27000</v>
      </c>
      <c r="P268" s="3" t="str">
        <f>IF(Table1[[#This Row],[Designation]]="Line Operator","Line Operator", "Other")</f>
        <v>Line Operator</v>
      </c>
    </row>
    <row r="269" spans="1:16" ht="15.75" customHeight="1" x14ac:dyDescent="0.25">
      <c r="A269" s="1" t="s">
        <v>575</v>
      </c>
      <c r="B269" s="1" t="s">
        <v>576</v>
      </c>
      <c r="C269" s="1" t="s">
        <v>44</v>
      </c>
      <c r="D269" s="1" t="s">
        <v>18</v>
      </c>
      <c r="E269" s="1" t="s">
        <v>75</v>
      </c>
      <c r="F269" s="1" t="s">
        <v>31</v>
      </c>
      <c r="G269" s="8">
        <v>45464</v>
      </c>
      <c r="H269" s="1">
        <v>45284</v>
      </c>
      <c r="I269" s="1" t="s">
        <v>21</v>
      </c>
      <c r="J269" s="1" t="s">
        <v>37</v>
      </c>
      <c r="K269" s="1" t="s">
        <v>38</v>
      </c>
      <c r="L269" s="1" t="s">
        <v>124</v>
      </c>
      <c r="M269" s="1" t="s">
        <v>47</v>
      </c>
      <c r="N269" s="1" t="s">
        <v>26</v>
      </c>
      <c r="O269" s="1">
        <v>27000</v>
      </c>
      <c r="P269" s="3" t="str">
        <f>IF(Table1[[#This Row],[Designation]]="Line Operator","Line Operator", "Other")</f>
        <v>Line Operator</v>
      </c>
    </row>
    <row r="270" spans="1:16" ht="15.75" customHeight="1" x14ac:dyDescent="0.25">
      <c r="A270" s="1" t="s">
        <v>577</v>
      </c>
      <c r="B270" s="1" t="s">
        <v>578</v>
      </c>
      <c r="C270" s="1" t="s">
        <v>579</v>
      </c>
      <c r="D270" s="1" t="s">
        <v>18</v>
      </c>
      <c r="E270" s="1" t="s">
        <v>75</v>
      </c>
      <c r="F270" s="1" t="s">
        <v>31</v>
      </c>
      <c r="G270" s="8">
        <v>45466</v>
      </c>
      <c r="H270" s="1">
        <v>45286</v>
      </c>
      <c r="I270" s="1" t="s">
        <v>21</v>
      </c>
      <c r="J270" s="1" t="s">
        <v>22</v>
      </c>
      <c r="K270" s="1" t="s">
        <v>23</v>
      </c>
      <c r="L270" s="1" t="s">
        <v>580</v>
      </c>
      <c r="M270" s="1" t="s">
        <v>47</v>
      </c>
      <c r="N270" s="1" t="s">
        <v>26</v>
      </c>
      <c r="O270" s="1">
        <v>27000</v>
      </c>
      <c r="P270" s="3" t="str">
        <f>IF(Table1[[#This Row],[Designation]]="Line Operator","Line Operator", "Other")</f>
        <v>Line Operator</v>
      </c>
    </row>
    <row r="271" spans="1:16" ht="15.75" customHeight="1" x14ac:dyDescent="0.25">
      <c r="A271" s="1" t="s">
        <v>581</v>
      </c>
      <c r="B271" s="1" t="s">
        <v>582</v>
      </c>
      <c r="C271" s="1" t="s">
        <v>17</v>
      </c>
      <c r="D271" s="1" t="s">
        <v>18</v>
      </c>
      <c r="E271" s="1" t="s">
        <v>75</v>
      </c>
      <c r="F271" s="1" t="s">
        <v>31</v>
      </c>
      <c r="G271" s="8">
        <v>45466</v>
      </c>
      <c r="H271" s="1">
        <v>45286</v>
      </c>
      <c r="I271" s="1" t="s">
        <v>21</v>
      </c>
      <c r="J271" s="1" t="s">
        <v>22</v>
      </c>
      <c r="K271" s="1" t="s">
        <v>38</v>
      </c>
      <c r="L271" s="1" t="s">
        <v>24</v>
      </c>
      <c r="M271" s="1" t="s">
        <v>25</v>
      </c>
      <c r="N271" s="1" t="s">
        <v>26</v>
      </c>
      <c r="O271" s="1">
        <v>27000</v>
      </c>
      <c r="P271" s="3" t="str">
        <f>IF(Table1[[#This Row],[Designation]]="Line Operator","Line Operator", "Other")</f>
        <v>Line Operator</v>
      </c>
    </row>
    <row r="272" spans="1:16" ht="15.75" customHeight="1" x14ac:dyDescent="0.25">
      <c r="A272" s="1" t="s">
        <v>583</v>
      </c>
      <c r="B272" s="1" t="s">
        <v>584</v>
      </c>
      <c r="C272" s="1" t="s">
        <v>17</v>
      </c>
      <c r="D272" s="1" t="s">
        <v>18</v>
      </c>
      <c r="E272" s="1" t="s">
        <v>75</v>
      </c>
      <c r="F272" s="1" t="s">
        <v>31</v>
      </c>
      <c r="G272" s="8">
        <v>45466</v>
      </c>
      <c r="H272" s="1">
        <v>45286</v>
      </c>
      <c r="I272" s="1" t="s">
        <v>21</v>
      </c>
      <c r="J272" s="1" t="s">
        <v>22</v>
      </c>
      <c r="K272" s="1" t="s">
        <v>32</v>
      </c>
      <c r="L272" s="1" t="s">
        <v>24</v>
      </c>
      <c r="M272" s="1" t="s">
        <v>25</v>
      </c>
      <c r="N272" s="1" t="s">
        <v>26</v>
      </c>
      <c r="O272" s="1">
        <v>27000</v>
      </c>
      <c r="P272" s="3" t="str">
        <f>IF(Table1[[#This Row],[Designation]]="Line Operator","Line Operator", "Other")</f>
        <v>Line Operator</v>
      </c>
    </row>
    <row r="273" spans="1:16" ht="15.75" customHeight="1" x14ac:dyDescent="0.25">
      <c r="A273" s="1" t="s">
        <v>585</v>
      </c>
      <c r="B273" s="1" t="s">
        <v>586</v>
      </c>
      <c r="C273" s="1" t="s">
        <v>36</v>
      </c>
      <c r="D273" s="1" t="s">
        <v>199</v>
      </c>
      <c r="E273" s="1" t="s">
        <v>75</v>
      </c>
      <c r="F273" s="1" t="s">
        <v>31</v>
      </c>
      <c r="G273" s="8">
        <v>45466</v>
      </c>
      <c r="H273" s="1">
        <v>45286</v>
      </c>
      <c r="I273" s="1" t="s">
        <v>21</v>
      </c>
      <c r="J273" s="1" t="s">
        <v>22</v>
      </c>
      <c r="K273" s="1" t="s">
        <v>32</v>
      </c>
      <c r="L273" s="1" t="s">
        <v>24</v>
      </c>
      <c r="M273" s="1" t="s">
        <v>25</v>
      </c>
      <c r="N273" s="1" t="s">
        <v>26</v>
      </c>
      <c r="O273" s="1">
        <v>27000</v>
      </c>
      <c r="P273" s="3" t="str">
        <f>IF(Table1[[#This Row],[Designation]]="Line Operator","Line Operator", "Other")</f>
        <v>Other</v>
      </c>
    </row>
    <row r="274" spans="1:16" ht="15.75" customHeight="1" x14ac:dyDescent="0.25">
      <c r="A274" s="1" t="s">
        <v>587</v>
      </c>
      <c r="B274" s="1" t="s">
        <v>588</v>
      </c>
      <c r="C274" s="1" t="s">
        <v>44</v>
      </c>
      <c r="D274" s="1" t="s">
        <v>18</v>
      </c>
      <c r="E274" s="1" t="s">
        <v>75</v>
      </c>
      <c r="F274" s="1" t="s">
        <v>31</v>
      </c>
      <c r="G274" s="8">
        <v>45466</v>
      </c>
      <c r="H274" s="1">
        <v>45286</v>
      </c>
      <c r="I274" s="1" t="s">
        <v>21</v>
      </c>
      <c r="J274" s="1" t="s">
        <v>22</v>
      </c>
      <c r="K274" s="1" t="s">
        <v>23</v>
      </c>
      <c r="L274" s="1" t="s">
        <v>24</v>
      </c>
      <c r="M274" s="1" t="s">
        <v>25</v>
      </c>
      <c r="N274" s="1" t="s">
        <v>26</v>
      </c>
      <c r="O274" s="1">
        <v>27000</v>
      </c>
      <c r="P274" s="3" t="str">
        <f>IF(Table1[[#This Row],[Designation]]="Line Operator","Line Operator", "Other")</f>
        <v>Line Operator</v>
      </c>
    </row>
    <row r="275" spans="1:16" ht="15.75" customHeight="1" x14ac:dyDescent="0.25">
      <c r="A275" s="1" t="s">
        <v>589</v>
      </c>
      <c r="B275" s="1" t="s">
        <v>193</v>
      </c>
      <c r="C275" s="1" t="s">
        <v>36</v>
      </c>
      <c r="D275" s="1" t="s">
        <v>202</v>
      </c>
      <c r="E275" s="1" t="s">
        <v>75</v>
      </c>
      <c r="F275" s="1" t="s">
        <v>31</v>
      </c>
      <c r="G275" s="8">
        <v>45466</v>
      </c>
      <c r="H275" s="1">
        <v>45286</v>
      </c>
      <c r="I275" s="1" t="s">
        <v>21</v>
      </c>
      <c r="J275" s="1" t="s">
        <v>22</v>
      </c>
      <c r="K275" s="1" t="s">
        <v>38</v>
      </c>
      <c r="L275" s="1" t="s">
        <v>24</v>
      </c>
      <c r="M275" s="1" t="s">
        <v>25</v>
      </c>
      <c r="N275" s="1" t="s">
        <v>26</v>
      </c>
      <c r="O275" s="1">
        <v>27000</v>
      </c>
      <c r="P275" s="3" t="str">
        <f>IF(Table1[[#This Row],[Designation]]="Line Operator","Line Operator", "Other")</f>
        <v>Other</v>
      </c>
    </row>
    <row r="276" spans="1:16" ht="15.75" customHeight="1" x14ac:dyDescent="0.25">
      <c r="A276" s="1" t="s">
        <v>590</v>
      </c>
      <c r="B276" s="1" t="s">
        <v>591</v>
      </c>
      <c r="C276" s="1" t="s">
        <v>36</v>
      </c>
      <c r="D276" s="1" t="s">
        <v>18</v>
      </c>
      <c r="E276" s="1" t="s">
        <v>75</v>
      </c>
      <c r="F276" s="1" t="s">
        <v>31</v>
      </c>
      <c r="G276" s="8">
        <v>45466</v>
      </c>
      <c r="H276" s="1">
        <v>45286</v>
      </c>
      <c r="I276" s="1" t="s">
        <v>81</v>
      </c>
      <c r="J276" s="1" t="s">
        <v>22</v>
      </c>
      <c r="K276" s="1" t="s">
        <v>23</v>
      </c>
      <c r="L276" s="1" t="s">
        <v>24</v>
      </c>
      <c r="M276" s="1" t="s">
        <v>25</v>
      </c>
      <c r="N276" s="1" t="s">
        <v>26</v>
      </c>
      <c r="O276" s="1">
        <v>27000</v>
      </c>
      <c r="P276" s="3" t="str">
        <f>IF(Table1[[#This Row],[Designation]]="Line Operator","Line Operator", "Other")</f>
        <v>Line Operator</v>
      </c>
    </row>
    <row r="277" spans="1:16" ht="15.75" customHeight="1" x14ac:dyDescent="0.25">
      <c r="A277" s="1" t="s">
        <v>592</v>
      </c>
      <c r="B277" s="1" t="s">
        <v>593</v>
      </c>
      <c r="C277" s="1" t="s">
        <v>17</v>
      </c>
      <c r="D277" s="1" t="s">
        <v>18</v>
      </c>
      <c r="E277" s="1" t="s">
        <v>75</v>
      </c>
      <c r="F277" s="1" t="s">
        <v>31</v>
      </c>
      <c r="G277" s="8">
        <v>45466</v>
      </c>
      <c r="H277" s="1">
        <v>45286</v>
      </c>
      <c r="I277" s="1" t="s">
        <v>81</v>
      </c>
      <c r="J277" s="1" t="s">
        <v>22</v>
      </c>
      <c r="K277" s="1" t="s">
        <v>23</v>
      </c>
      <c r="L277" s="1" t="s">
        <v>24</v>
      </c>
      <c r="M277" s="1" t="s">
        <v>25</v>
      </c>
      <c r="N277" s="1" t="s">
        <v>26</v>
      </c>
      <c r="O277" s="1">
        <v>27000</v>
      </c>
      <c r="P277" s="3" t="str">
        <f>IF(Table1[[#This Row],[Designation]]="Line Operator","Line Operator", "Other")</f>
        <v>Line Operator</v>
      </c>
    </row>
    <row r="278" spans="1:16" ht="15.75" customHeight="1" x14ac:dyDescent="0.25">
      <c r="A278" s="1" t="s">
        <v>594</v>
      </c>
      <c r="B278" s="1" t="s">
        <v>595</v>
      </c>
      <c r="C278" s="1" t="s">
        <v>44</v>
      </c>
      <c r="D278" s="1" t="s">
        <v>18</v>
      </c>
      <c r="E278" s="1" t="s">
        <v>75</v>
      </c>
      <c r="F278" s="1" t="s">
        <v>31</v>
      </c>
      <c r="G278" s="8">
        <v>45466</v>
      </c>
      <c r="H278" s="1">
        <v>45286</v>
      </c>
      <c r="I278" s="1" t="s">
        <v>81</v>
      </c>
      <c r="J278" s="1" t="s">
        <v>22</v>
      </c>
      <c r="K278" s="1" t="s">
        <v>23</v>
      </c>
      <c r="L278" s="1" t="s">
        <v>24</v>
      </c>
      <c r="M278" s="1" t="s">
        <v>25</v>
      </c>
      <c r="N278" s="1" t="s">
        <v>26</v>
      </c>
      <c r="O278" s="1">
        <v>27000</v>
      </c>
      <c r="P278" s="3" t="str">
        <f>IF(Table1[[#This Row],[Designation]]="Line Operator","Line Operator", "Other")</f>
        <v>Line Operator</v>
      </c>
    </row>
    <row r="279" spans="1:16" ht="15.75" customHeight="1" x14ac:dyDescent="0.25">
      <c r="A279" s="1" t="s">
        <v>596</v>
      </c>
      <c r="B279" s="1" t="s">
        <v>597</v>
      </c>
      <c r="C279" s="1" t="s">
        <v>44</v>
      </c>
      <c r="D279" s="1" t="s">
        <v>18</v>
      </c>
      <c r="E279" s="1" t="s">
        <v>75</v>
      </c>
      <c r="F279" s="1" t="s">
        <v>31</v>
      </c>
      <c r="G279" s="8">
        <v>45466</v>
      </c>
      <c r="H279" s="1">
        <v>45286</v>
      </c>
      <c r="I279" s="1" t="s">
        <v>81</v>
      </c>
      <c r="J279" s="1" t="s">
        <v>22</v>
      </c>
      <c r="K279" s="1" t="s">
        <v>38</v>
      </c>
      <c r="L279" s="1" t="s">
        <v>24</v>
      </c>
      <c r="M279" s="1" t="s">
        <v>25</v>
      </c>
      <c r="N279" s="1" t="s">
        <v>26</v>
      </c>
      <c r="O279" s="1">
        <v>27000</v>
      </c>
      <c r="P279" s="3" t="str">
        <f>IF(Table1[[#This Row],[Designation]]="Line Operator","Line Operator", "Other")</f>
        <v>Line Operator</v>
      </c>
    </row>
    <row r="280" spans="1:16" ht="15.75" customHeight="1" x14ac:dyDescent="0.25">
      <c r="A280" s="1" t="s">
        <v>598</v>
      </c>
      <c r="B280" s="1" t="s">
        <v>599</v>
      </c>
      <c r="C280" s="1" t="s">
        <v>36</v>
      </c>
      <c r="D280" s="1" t="s">
        <v>18</v>
      </c>
      <c r="E280" s="1" t="s">
        <v>75</v>
      </c>
      <c r="F280" s="1" t="s">
        <v>31</v>
      </c>
      <c r="G280" s="8">
        <v>45466</v>
      </c>
      <c r="H280" s="1">
        <v>45286</v>
      </c>
      <c r="I280" s="1" t="s">
        <v>81</v>
      </c>
      <c r="J280" s="1" t="s">
        <v>22</v>
      </c>
      <c r="K280" s="1" t="s">
        <v>32</v>
      </c>
      <c r="L280" s="1" t="s">
        <v>24</v>
      </c>
      <c r="M280" s="1" t="s">
        <v>25</v>
      </c>
      <c r="N280" s="1" t="s">
        <v>26</v>
      </c>
      <c r="O280" s="1">
        <v>27000</v>
      </c>
      <c r="P280" s="3" t="str">
        <f>IF(Table1[[#This Row],[Designation]]="Line Operator","Line Operator", "Other")</f>
        <v>Line Operator</v>
      </c>
    </row>
    <row r="281" spans="1:16" ht="15.75" customHeight="1" x14ac:dyDescent="0.25">
      <c r="A281" s="1" t="s">
        <v>600</v>
      </c>
      <c r="B281" s="1" t="s">
        <v>601</v>
      </c>
      <c r="C281" s="1" t="s">
        <v>36</v>
      </c>
      <c r="D281" s="1" t="s">
        <v>18</v>
      </c>
      <c r="E281" s="1" t="s">
        <v>75</v>
      </c>
      <c r="F281" s="1" t="s">
        <v>31</v>
      </c>
      <c r="G281" s="8">
        <v>45466</v>
      </c>
      <c r="H281" s="1">
        <v>45286</v>
      </c>
      <c r="I281" s="1" t="s">
        <v>81</v>
      </c>
      <c r="J281" s="1" t="s">
        <v>22</v>
      </c>
      <c r="K281" s="1" t="s">
        <v>23</v>
      </c>
      <c r="L281" s="1" t="s">
        <v>24</v>
      </c>
      <c r="M281" s="1" t="s">
        <v>25</v>
      </c>
      <c r="N281" s="1" t="s">
        <v>26</v>
      </c>
      <c r="O281" s="1">
        <v>27000</v>
      </c>
      <c r="P281" s="3" t="str">
        <f>IF(Table1[[#This Row],[Designation]]="Line Operator","Line Operator", "Other")</f>
        <v>Line Operator</v>
      </c>
    </row>
    <row r="282" spans="1:16" ht="15.75" customHeight="1" x14ac:dyDescent="0.25">
      <c r="A282" s="1" t="s">
        <v>602</v>
      </c>
      <c r="B282" s="1" t="s">
        <v>603</v>
      </c>
      <c r="C282" s="1" t="s">
        <v>29</v>
      </c>
      <c r="D282" s="1" t="s">
        <v>18</v>
      </c>
      <c r="E282" s="1" t="s">
        <v>75</v>
      </c>
      <c r="F282" s="1" t="s">
        <v>31</v>
      </c>
      <c r="G282" s="8">
        <v>45466</v>
      </c>
      <c r="H282" s="1">
        <v>45286</v>
      </c>
      <c r="I282" s="1" t="s">
        <v>81</v>
      </c>
      <c r="J282" s="1" t="s">
        <v>22</v>
      </c>
      <c r="K282" s="1" t="s">
        <v>141</v>
      </c>
      <c r="L282" s="1" t="s">
        <v>24</v>
      </c>
      <c r="M282" s="1" t="s">
        <v>25</v>
      </c>
      <c r="N282" s="1" t="s">
        <v>26</v>
      </c>
      <c r="O282" s="1">
        <v>27000</v>
      </c>
      <c r="P282" s="3" t="str">
        <f>IF(Table1[[#This Row],[Designation]]="Line Operator","Line Operator", "Other")</f>
        <v>Line Operator</v>
      </c>
    </row>
    <row r="283" spans="1:16" ht="15.75" customHeight="1" x14ac:dyDescent="0.25">
      <c r="A283" s="1" t="s">
        <v>604</v>
      </c>
      <c r="B283" s="1" t="s">
        <v>605</v>
      </c>
      <c r="C283" s="1" t="s">
        <v>36</v>
      </c>
      <c r="D283" s="1" t="s">
        <v>18</v>
      </c>
      <c r="E283" s="1" t="s">
        <v>75</v>
      </c>
      <c r="F283" s="1" t="s">
        <v>31</v>
      </c>
      <c r="G283" s="8">
        <v>45466</v>
      </c>
      <c r="H283" s="1">
        <v>45286</v>
      </c>
      <c r="I283" s="1" t="s">
        <v>21</v>
      </c>
      <c r="J283" s="1" t="s">
        <v>22</v>
      </c>
      <c r="K283" s="1" t="s">
        <v>38</v>
      </c>
      <c r="L283" s="1" t="s">
        <v>24</v>
      </c>
      <c r="M283" s="1" t="s">
        <v>25</v>
      </c>
      <c r="N283" s="1" t="s">
        <v>26</v>
      </c>
      <c r="O283" s="1">
        <v>27000</v>
      </c>
      <c r="P283" s="3" t="str">
        <f>IF(Table1[[#This Row],[Designation]]="Line Operator","Line Operator", "Other")</f>
        <v>Line Operator</v>
      </c>
    </row>
    <row r="284" spans="1:16" ht="15.75" customHeight="1" x14ac:dyDescent="0.25">
      <c r="A284" s="1" t="s">
        <v>606</v>
      </c>
      <c r="B284" s="1" t="s">
        <v>607</v>
      </c>
      <c r="C284" s="1" t="s">
        <v>44</v>
      </c>
      <c r="D284" s="1" t="s">
        <v>202</v>
      </c>
      <c r="E284" s="1" t="s">
        <v>75</v>
      </c>
      <c r="F284" s="1" t="s">
        <v>31</v>
      </c>
      <c r="G284" s="8">
        <v>45466</v>
      </c>
      <c r="H284" s="1">
        <v>45286</v>
      </c>
      <c r="I284" s="1" t="s">
        <v>81</v>
      </c>
      <c r="J284" s="1" t="s">
        <v>22</v>
      </c>
      <c r="K284" s="1" t="s">
        <v>38</v>
      </c>
      <c r="L284" s="1" t="s">
        <v>24</v>
      </c>
      <c r="M284" s="1" t="s">
        <v>25</v>
      </c>
      <c r="N284" s="1" t="s">
        <v>26</v>
      </c>
      <c r="O284" s="1">
        <v>27000</v>
      </c>
      <c r="P284" s="3" t="str">
        <f>IF(Table1[[#This Row],[Designation]]="Line Operator","Line Operator", "Other")</f>
        <v>Other</v>
      </c>
    </row>
    <row r="285" spans="1:16" ht="15.75" customHeight="1" x14ac:dyDescent="0.25">
      <c r="A285" s="1" t="s">
        <v>608</v>
      </c>
      <c r="B285" s="1" t="s">
        <v>314</v>
      </c>
      <c r="C285" s="1" t="s">
        <v>44</v>
      </c>
      <c r="D285" s="1" t="s">
        <v>18</v>
      </c>
      <c r="E285" s="1" t="s">
        <v>75</v>
      </c>
      <c r="F285" s="1" t="s">
        <v>31</v>
      </c>
      <c r="G285" s="8">
        <v>45466</v>
      </c>
      <c r="H285" s="1">
        <v>45286</v>
      </c>
      <c r="I285" s="1" t="s">
        <v>21</v>
      </c>
      <c r="J285" s="1" t="s">
        <v>22</v>
      </c>
      <c r="K285" s="1" t="s">
        <v>32</v>
      </c>
      <c r="L285" s="1" t="s">
        <v>96</v>
      </c>
      <c r="M285" s="1" t="s">
        <v>47</v>
      </c>
      <c r="N285" s="1" t="s">
        <v>26</v>
      </c>
      <c r="O285" s="1">
        <v>27000</v>
      </c>
      <c r="P285" s="3" t="str">
        <f>IF(Table1[[#This Row],[Designation]]="Line Operator","Line Operator", "Other")</f>
        <v>Line Operator</v>
      </c>
    </row>
    <row r="286" spans="1:16" ht="15.75" customHeight="1" x14ac:dyDescent="0.25">
      <c r="A286" s="1" t="s">
        <v>609</v>
      </c>
      <c r="B286" s="1" t="s">
        <v>610</v>
      </c>
      <c r="C286" s="1" t="s">
        <v>36</v>
      </c>
      <c r="D286" s="1" t="s">
        <v>18</v>
      </c>
      <c r="E286" s="1" t="s">
        <v>75</v>
      </c>
      <c r="F286" s="1" t="s">
        <v>31</v>
      </c>
      <c r="G286" s="8">
        <v>45466</v>
      </c>
      <c r="H286" s="1">
        <v>45286</v>
      </c>
      <c r="I286" s="1" t="s">
        <v>21</v>
      </c>
      <c r="J286" s="1" t="s">
        <v>22</v>
      </c>
      <c r="K286" s="1" t="s">
        <v>23</v>
      </c>
      <c r="L286" s="1" t="s">
        <v>96</v>
      </c>
      <c r="M286" s="1" t="s">
        <v>47</v>
      </c>
      <c r="N286" s="1" t="s">
        <v>26</v>
      </c>
      <c r="O286" s="1">
        <v>27000</v>
      </c>
      <c r="P286" s="3" t="str">
        <f>IF(Table1[[#This Row],[Designation]]="Line Operator","Line Operator", "Other")</f>
        <v>Line Operator</v>
      </c>
    </row>
    <row r="287" spans="1:16" ht="15.75" customHeight="1" x14ac:dyDescent="0.25">
      <c r="A287" s="1" t="s">
        <v>611</v>
      </c>
      <c r="B287" s="1" t="s">
        <v>612</v>
      </c>
      <c r="C287" s="1" t="s">
        <v>205</v>
      </c>
      <c r="D287" s="1" t="s">
        <v>18</v>
      </c>
      <c r="E287" s="1" t="s">
        <v>75</v>
      </c>
      <c r="F287" s="1" t="s">
        <v>31</v>
      </c>
      <c r="G287" s="8">
        <v>45467</v>
      </c>
      <c r="H287" s="1">
        <v>45287</v>
      </c>
      <c r="I287" s="1" t="s">
        <v>21</v>
      </c>
      <c r="J287" s="1" t="s">
        <v>22</v>
      </c>
      <c r="K287" s="1" t="s">
        <v>148</v>
      </c>
      <c r="L287" s="1" t="s">
        <v>24</v>
      </c>
      <c r="M287" s="1" t="s">
        <v>25</v>
      </c>
      <c r="N287" s="1" t="s">
        <v>26</v>
      </c>
      <c r="O287" s="1">
        <v>27000</v>
      </c>
      <c r="P287" s="3" t="str">
        <f>IF(Table1[[#This Row],[Designation]]="Line Operator","Line Operator", "Other")</f>
        <v>Line Operator</v>
      </c>
    </row>
    <row r="288" spans="1:16" ht="15.75" customHeight="1" x14ac:dyDescent="0.25">
      <c r="A288" s="1" t="s">
        <v>613</v>
      </c>
      <c r="B288" s="1" t="s">
        <v>614</v>
      </c>
      <c r="C288" s="1" t="s">
        <v>17</v>
      </c>
      <c r="D288" s="1" t="s">
        <v>18</v>
      </c>
      <c r="E288" s="1" t="s">
        <v>75</v>
      </c>
      <c r="F288" s="1" t="s">
        <v>31</v>
      </c>
      <c r="G288" s="8">
        <v>45467</v>
      </c>
      <c r="H288" s="1">
        <v>45287</v>
      </c>
      <c r="I288" s="1" t="s">
        <v>21</v>
      </c>
      <c r="J288" s="1" t="s">
        <v>22</v>
      </c>
      <c r="K288" s="1" t="s">
        <v>115</v>
      </c>
      <c r="L288" s="1" t="s">
        <v>290</v>
      </c>
      <c r="M288" s="1" t="s">
        <v>47</v>
      </c>
      <c r="N288" s="1" t="s">
        <v>26</v>
      </c>
      <c r="O288" s="1">
        <v>27000</v>
      </c>
      <c r="P288" s="3" t="str">
        <f>IF(Table1[[#This Row],[Designation]]="Line Operator","Line Operator", "Other")</f>
        <v>Line Operator</v>
      </c>
    </row>
    <row r="289" spans="1:16" ht="15.75" customHeight="1" x14ac:dyDescent="0.25">
      <c r="A289" s="1" t="s">
        <v>615</v>
      </c>
      <c r="B289" s="1" t="s">
        <v>616</v>
      </c>
      <c r="C289" s="1" t="s">
        <v>17</v>
      </c>
      <c r="D289" s="1" t="s">
        <v>18</v>
      </c>
      <c r="E289" s="1" t="s">
        <v>75</v>
      </c>
      <c r="F289" s="1" t="s">
        <v>31</v>
      </c>
      <c r="G289" s="8">
        <v>45467</v>
      </c>
      <c r="H289" s="1">
        <v>45287</v>
      </c>
      <c r="I289" s="1" t="s">
        <v>81</v>
      </c>
      <c r="J289" s="1" t="s">
        <v>22</v>
      </c>
      <c r="K289" s="1" t="s">
        <v>38</v>
      </c>
      <c r="L289" s="1" t="s">
        <v>220</v>
      </c>
      <c r="M289" s="1" t="s">
        <v>25</v>
      </c>
      <c r="N289" s="1" t="s">
        <v>26</v>
      </c>
      <c r="O289" s="1">
        <v>27000</v>
      </c>
      <c r="P289" s="3" t="str">
        <f>IF(Table1[[#This Row],[Designation]]="Line Operator","Line Operator", "Other")</f>
        <v>Line Operator</v>
      </c>
    </row>
    <row r="290" spans="1:16" ht="15.75" customHeight="1" x14ac:dyDescent="0.25">
      <c r="A290" s="1" t="s">
        <v>617</v>
      </c>
      <c r="B290" s="1" t="s">
        <v>618</v>
      </c>
      <c r="C290" s="1" t="s">
        <v>36</v>
      </c>
      <c r="D290" s="1" t="s">
        <v>18</v>
      </c>
      <c r="E290" s="1" t="s">
        <v>75</v>
      </c>
      <c r="F290" s="1" t="s">
        <v>31</v>
      </c>
      <c r="G290" s="8">
        <v>45470</v>
      </c>
      <c r="H290" s="1">
        <v>45290</v>
      </c>
      <c r="I290" s="1" t="s">
        <v>81</v>
      </c>
      <c r="J290" s="1" t="s">
        <v>22</v>
      </c>
      <c r="K290" s="1" t="s">
        <v>32</v>
      </c>
      <c r="L290" s="1" t="s">
        <v>116</v>
      </c>
      <c r="M290" s="1" t="s">
        <v>47</v>
      </c>
      <c r="N290" s="1" t="s">
        <v>26</v>
      </c>
      <c r="O290" s="1">
        <v>30000</v>
      </c>
      <c r="P290" s="3" t="str">
        <f>IF(Table1[[#This Row],[Designation]]="Line Operator","Line Operator", "Other")</f>
        <v>Line Operator</v>
      </c>
    </row>
    <row r="291" spans="1:16" ht="15.75" customHeight="1" x14ac:dyDescent="0.25">
      <c r="A291" s="1" t="s">
        <v>619</v>
      </c>
      <c r="B291" s="1" t="s">
        <v>620</v>
      </c>
      <c r="C291" s="1" t="s">
        <v>17</v>
      </c>
      <c r="D291" s="1" t="s">
        <v>18</v>
      </c>
      <c r="E291" s="1" t="s">
        <v>75</v>
      </c>
      <c r="F291" s="1" t="s">
        <v>31</v>
      </c>
      <c r="G291" s="8">
        <v>45470</v>
      </c>
      <c r="H291" s="1">
        <v>45290</v>
      </c>
      <c r="I291" s="1" t="s">
        <v>21</v>
      </c>
      <c r="J291" s="1" t="s">
        <v>22</v>
      </c>
      <c r="K291" s="1" t="s">
        <v>58</v>
      </c>
      <c r="L291" s="1" t="s">
        <v>96</v>
      </c>
      <c r="M291" s="1" t="s">
        <v>47</v>
      </c>
      <c r="N291" s="1" t="s">
        <v>26</v>
      </c>
      <c r="O291" s="1">
        <v>30000</v>
      </c>
      <c r="P291" s="3" t="str">
        <f>IF(Table1[[#This Row],[Designation]]="Line Operator","Line Operator", "Other")</f>
        <v>Line Operator</v>
      </c>
    </row>
    <row r="292" spans="1:16" ht="15.75" customHeight="1" x14ac:dyDescent="0.25">
      <c r="A292" s="1" t="s">
        <v>621</v>
      </c>
      <c r="B292" s="1" t="s">
        <v>622</v>
      </c>
      <c r="C292" s="1" t="s">
        <v>44</v>
      </c>
      <c r="D292" s="1" t="s">
        <v>18</v>
      </c>
      <c r="E292" s="1" t="s">
        <v>75</v>
      </c>
      <c r="F292" s="1" t="s">
        <v>31</v>
      </c>
      <c r="G292" s="8">
        <v>45470</v>
      </c>
      <c r="H292" s="1">
        <v>45290</v>
      </c>
      <c r="I292" s="1" t="s">
        <v>21</v>
      </c>
      <c r="J292" s="1" t="s">
        <v>22</v>
      </c>
      <c r="K292" s="1" t="s">
        <v>58</v>
      </c>
      <c r="L292" s="1" t="s">
        <v>24</v>
      </c>
      <c r="M292" s="1" t="s">
        <v>25</v>
      </c>
      <c r="N292" s="1" t="s">
        <v>26</v>
      </c>
      <c r="O292" s="1">
        <v>30000</v>
      </c>
      <c r="P292" s="3" t="str">
        <f>IF(Table1[[#This Row],[Designation]]="Line Operator","Line Operator", "Other")</f>
        <v>Line Operator</v>
      </c>
    </row>
    <row r="293" spans="1:16" ht="15.75" customHeight="1" x14ac:dyDescent="0.25">
      <c r="A293" s="1" t="s">
        <v>623</v>
      </c>
      <c r="B293" s="1" t="s">
        <v>624</v>
      </c>
      <c r="C293" s="1" t="s">
        <v>36</v>
      </c>
      <c r="D293" s="1" t="s">
        <v>18</v>
      </c>
      <c r="E293" s="1" t="s">
        <v>75</v>
      </c>
      <c r="F293" s="1" t="s">
        <v>31</v>
      </c>
      <c r="G293" s="8">
        <v>45472</v>
      </c>
      <c r="H293" s="1">
        <v>45292</v>
      </c>
      <c r="I293" s="1" t="s">
        <v>21</v>
      </c>
      <c r="J293" s="1" t="s">
        <v>22</v>
      </c>
      <c r="K293" s="1" t="s">
        <v>115</v>
      </c>
      <c r="L293" s="1" t="s">
        <v>96</v>
      </c>
      <c r="M293" s="1" t="s">
        <v>47</v>
      </c>
      <c r="N293" s="1" t="s">
        <v>26</v>
      </c>
      <c r="O293" s="1">
        <v>30000</v>
      </c>
      <c r="P293" s="3" t="str">
        <f>IF(Table1[[#This Row],[Designation]]="Line Operator","Line Operator", "Other")</f>
        <v>Line Operator</v>
      </c>
    </row>
    <row r="294" spans="1:16" ht="15.75" customHeight="1" x14ac:dyDescent="0.25">
      <c r="A294" s="1" t="s">
        <v>625</v>
      </c>
      <c r="B294" s="1" t="s">
        <v>626</v>
      </c>
      <c r="C294" s="1" t="s">
        <v>17</v>
      </c>
      <c r="D294" s="1" t="s">
        <v>18</v>
      </c>
      <c r="E294" s="1" t="s">
        <v>75</v>
      </c>
      <c r="F294" s="1" t="s">
        <v>31</v>
      </c>
      <c r="G294" s="8">
        <v>45472</v>
      </c>
      <c r="H294" s="1">
        <v>45292</v>
      </c>
      <c r="I294" s="1" t="s">
        <v>21</v>
      </c>
      <c r="J294" s="1" t="s">
        <v>22</v>
      </c>
      <c r="K294" s="1" t="s">
        <v>38</v>
      </c>
      <c r="L294" s="1" t="s">
        <v>50</v>
      </c>
      <c r="M294" s="1" t="s">
        <v>51</v>
      </c>
      <c r="N294" s="1" t="s">
        <v>26</v>
      </c>
      <c r="O294" s="1">
        <v>30000</v>
      </c>
      <c r="P294" s="3" t="str">
        <f>IF(Table1[[#This Row],[Designation]]="Line Operator","Line Operator", "Other")</f>
        <v>Line Operator</v>
      </c>
    </row>
    <row r="295" spans="1:16" ht="15.75" customHeight="1" x14ac:dyDescent="0.25">
      <c r="A295" s="1" t="s">
        <v>627</v>
      </c>
      <c r="B295" s="1" t="s">
        <v>628</v>
      </c>
      <c r="C295" s="1" t="s">
        <v>17</v>
      </c>
      <c r="D295" s="1" t="s">
        <v>18</v>
      </c>
      <c r="E295" s="1" t="s">
        <v>75</v>
      </c>
      <c r="F295" s="1" t="s">
        <v>31</v>
      </c>
      <c r="G295" s="8">
        <v>45472</v>
      </c>
      <c r="H295" s="1">
        <v>45292</v>
      </c>
      <c r="I295" s="1" t="s">
        <v>21</v>
      </c>
      <c r="J295" s="1" t="s">
        <v>22</v>
      </c>
      <c r="K295" s="1" t="s">
        <v>23</v>
      </c>
      <c r="L295" s="1" t="s">
        <v>24</v>
      </c>
      <c r="M295" s="1" t="s">
        <v>25</v>
      </c>
      <c r="N295" s="1" t="s">
        <v>26</v>
      </c>
      <c r="O295" s="1">
        <v>30000</v>
      </c>
      <c r="P295" s="3" t="str">
        <f>IF(Table1[[#This Row],[Designation]]="Line Operator","Line Operator", "Other")</f>
        <v>Line Operator</v>
      </c>
    </row>
    <row r="296" spans="1:16" ht="15.75" customHeight="1" x14ac:dyDescent="0.25">
      <c r="A296" s="1" t="s">
        <v>629</v>
      </c>
      <c r="B296" s="1" t="s">
        <v>630</v>
      </c>
      <c r="C296" s="1" t="s">
        <v>36</v>
      </c>
      <c r="D296" s="1" t="s">
        <v>18</v>
      </c>
      <c r="E296" s="1" t="s">
        <v>75</v>
      </c>
      <c r="F296" s="1" t="s">
        <v>31</v>
      </c>
      <c r="G296" s="8">
        <v>45472</v>
      </c>
      <c r="H296" s="1">
        <v>45292</v>
      </c>
      <c r="I296" s="1" t="s">
        <v>21</v>
      </c>
      <c r="J296" s="1" t="s">
        <v>22</v>
      </c>
      <c r="K296" s="1" t="s">
        <v>38</v>
      </c>
      <c r="L296" s="1" t="s">
        <v>24</v>
      </c>
      <c r="M296" s="1" t="s">
        <v>25</v>
      </c>
      <c r="N296" s="1" t="s">
        <v>26</v>
      </c>
      <c r="O296" s="1">
        <v>30000</v>
      </c>
      <c r="P296" s="3" t="str">
        <f>IF(Table1[[#This Row],[Designation]]="Line Operator","Line Operator", "Other")</f>
        <v>Line Operator</v>
      </c>
    </row>
    <row r="297" spans="1:16" ht="15.75" customHeight="1" x14ac:dyDescent="0.25">
      <c r="A297" s="1" t="s">
        <v>631</v>
      </c>
      <c r="B297" s="1" t="s">
        <v>632</v>
      </c>
      <c r="C297" s="1" t="s">
        <v>36</v>
      </c>
      <c r="D297" s="1" t="s">
        <v>18</v>
      </c>
      <c r="E297" s="1" t="s">
        <v>75</v>
      </c>
      <c r="F297" s="1" t="s">
        <v>31</v>
      </c>
      <c r="G297" s="8">
        <v>45472</v>
      </c>
      <c r="H297" s="1">
        <v>45292</v>
      </c>
      <c r="I297" s="1" t="s">
        <v>21</v>
      </c>
      <c r="J297" s="1" t="s">
        <v>37</v>
      </c>
      <c r="K297" s="1" t="s">
        <v>58</v>
      </c>
      <c r="L297" s="1" t="s">
        <v>24</v>
      </c>
      <c r="M297" s="1" t="s">
        <v>25</v>
      </c>
      <c r="N297" s="1" t="s">
        <v>26</v>
      </c>
      <c r="O297" s="1">
        <v>30000</v>
      </c>
      <c r="P297" s="3" t="str">
        <f>IF(Table1[[#This Row],[Designation]]="Line Operator","Line Operator", "Other")</f>
        <v>Line Operator</v>
      </c>
    </row>
    <row r="298" spans="1:16" ht="15.75" customHeight="1" x14ac:dyDescent="0.25">
      <c r="A298" s="1" t="s">
        <v>633</v>
      </c>
      <c r="B298" s="1" t="s">
        <v>634</v>
      </c>
      <c r="C298" s="1" t="s">
        <v>17</v>
      </c>
      <c r="D298" s="1" t="s">
        <v>18</v>
      </c>
      <c r="E298" s="1" t="s">
        <v>75</v>
      </c>
      <c r="F298" s="1" t="s">
        <v>31</v>
      </c>
      <c r="G298" s="8">
        <v>45472</v>
      </c>
      <c r="H298" s="1">
        <v>45292</v>
      </c>
      <c r="I298" s="1" t="s">
        <v>21</v>
      </c>
      <c r="J298" s="1" t="s">
        <v>22</v>
      </c>
      <c r="K298" s="1" t="s">
        <v>115</v>
      </c>
      <c r="L298" s="1" t="s">
        <v>24</v>
      </c>
      <c r="M298" s="1" t="s">
        <v>25</v>
      </c>
      <c r="N298" s="1" t="s">
        <v>26</v>
      </c>
      <c r="O298" s="1">
        <v>30000</v>
      </c>
      <c r="P298" s="3" t="str">
        <f>IF(Table1[[#This Row],[Designation]]="Line Operator","Line Operator", "Other")</f>
        <v>Line Operator</v>
      </c>
    </row>
    <row r="299" spans="1:16" ht="15.75" customHeight="1" x14ac:dyDescent="0.25">
      <c r="A299" s="1" t="s">
        <v>635</v>
      </c>
      <c r="B299" s="1" t="s">
        <v>193</v>
      </c>
      <c r="C299" s="1" t="s">
        <v>44</v>
      </c>
      <c r="D299" s="1" t="s">
        <v>18</v>
      </c>
      <c r="E299" s="1" t="s">
        <v>75</v>
      </c>
      <c r="F299" s="1" t="s">
        <v>31</v>
      </c>
      <c r="G299" s="8">
        <v>45472</v>
      </c>
      <c r="H299" s="1">
        <v>45292</v>
      </c>
      <c r="I299" s="1" t="s">
        <v>21</v>
      </c>
      <c r="J299" s="1" t="s">
        <v>22</v>
      </c>
      <c r="K299" s="1" t="s">
        <v>38</v>
      </c>
      <c r="L299" s="1" t="s">
        <v>191</v>
      </c>
      <c r="M299" s="1" t="s">
        <v>40</v>
      </c>
      <c r="N299" s="1" t="s">
        <v>26</v>
      </c>
      <c r="O299" s="1">
        <v>30000</v>
      </c>
      <c r="P299" s="3" t="str">
        <f>IF(Table1[[#This Row],[Designation]]="Line Operator","Line Operator", "Other")</f>
        <v>Line Operator</v>
      </c>
    </row>
    <row r="300" spans="1:16" ht="15.75" customHeight="1" x14ac:dyDescent="0.25">
      <c r="A300" s="1" t="s">
        <v>636</v>
      </c>
      <c r="B300" s="1" t="s">
        <v>637</v>
      </c>
      <c r="C300" s="1" t="s">
        <v>36</v>
      </c>
      <c r="D300" s="1" t="s">
        <v>18</v>
      </c>
      <c r="E300" s="1" t="s">
        <v>75</v>
      </c>
      <c r="F300" s="1" t="s">
        <v>31</v>
      </c>
      <c r="G300" s="8">
        <v>45472</v>
      </c>
      <c r="H300" s="1">
        <v>45292</v>
      </c>
      <c r="I300" s="1" t="s">
        <v>81</v>
      </c>
      <c r="J300" s="1" t="s">
        <v>22</v>
      </c>
      <c r="K300" s="1" t="s">
        <v>23</v>
      </c>
      <c r="L300" s="1" t="s">
        <v>225</v>
      </c>
      <c r="M300" s="1" t="s">
        <v>47</v>
      </c>
      <c r="N300" s="1" t="s">
        <v>26</v>
      </c>
      <c r="O300" s="1">
        <v>30000</v>
      </c>
      <c r="P300" s="3" t="str">
        <f>IF(Table1[[#This Row],[Designation]]="Line Operator","Line Operator", "Other")</f>
        <v>Line Operator</v>
      </c>
    </row>
    <row r="301" spans="1:16" ht="15.75" customHeight="1" x14ac:dyDescent="0.25">
      <c r="A301" s="1" t="s">
        <v>638</v>
      </c>
      <c r="B301" s="1" t="s">
        <v>639</v>
      </c>
      <c r="C301" s="1" t="s">
        <v>36</v>
      </c>
      <c r="D301" s="1" t="s">
        <v>18</v>
      </c>
      <c r="E301" s="1" t="s">
        <v>75</v>
      </c>
      <c r="F301" s="1" t="s">
        <v>31</v>
      </c>
      <c r="G301" s="8">
        <v>45472</v>
      </c>
      <c r="H301" s="1">
        <v>45292</v>
      </c>
      <c r="I301" s="1" t="s">
        <v>81</v>
      </c>
      <c r="J301" s="1" t="s">
        <v>37</v>
      </c>
      <c r="K301" s="1" t="s">
        <v>38</v>
      </c>
      <c r="L301" s="1" t="s">
        <v>24</v>
      </c>
      <c r="M301" s="1" t="s">
        <v>25</v>
      </c>
      <c r="N301" s="1" t="s">
        <v>26</v>
      </c>
      <c r="O301" s="1">
        <v>30000</v>
      </c>
      <c r="P301" s="3" t="str">
        <f>IF(Table1[[#This Row],[Designation]]="Line Operator","Line Operator", "Other")</f>
        <v>Line Operator</v>
      </c>
    </row>
    <row r="302" spans="1:16" ht="15.75" customHeight="1" x14ac:dyDescent="0.25">
      <c r="A302" s="1" t="s">
        <v>640</v>
      </c>
      <c r="B302" s="1" t="s">
        <v>641</v>
      </c>
      <c r="C302" s="1" t="s">
        <v>36</v>
      </c>
      <c r="D302" s="1" t="s">
        <v>18</v>
      </c>
      <c r="E302" s="1" t="s">
        <v>75</v>
      </c>
      <c r="F302" s="1" t="s">
        <v>31</v>
      </c>
      <c r="G302" s="8">
        <v>45472</v>
      </c>
      <c r="H302" s="1">
        <v>45292</v>
      </c>
      <c r="I302" s="1" t="s">
        <v>21</v>
      </c>
      <c r="J302" s="1" t="s">
        <v>37</v>
      </c>
      <c r="K302" s="1" t="s">
        <v>38</v>
      </c>
      <c r="L302" s="1" t="s">
        <v>24</v>
      </c>
      <c r="M302" s="1" t="s">
        <v>25</v>
      </c>
      <c r="N302" s="1" t="s">
        <v>26</v>
      </c>
      <c r="O302" s="1">
        <v>30000</v>
      </c>
      <c r="P302" s="3" t="str">
        <f>IF(Table1[[#This Row],[Designation]]="Line Operator","Line Operator", "Other")</f>
        <v>Line Operator</v>
      </c>
    </row>
    <row r="303" spans="1:16" ht="15.75" customHeight="1" x14ac:dyDescent="0.25">
      <c r="A303" s="1" t="s">
        <v>642</v>
      </c>
      <c r="B303" s="1" t="s">
        <v>643</v>
      </c>
      <c r="C303" s="1" t="s">
        <v>44</v>
      </c>
      <c r="D303" s="1" t="s">
        <v>18</v>
      </c>
      <c r="E303" s="1" t="s">
        <v>75</v>
      </c>
      <c r="F303" s="1" t="s">
        <v>31</v>
      </c>
      <c r="G303" s="8">
        <v>45472</v>
      </c>
      <c r="H303" s="1">
        <v>45292</v>
      </c>
      <c r="I303" s="1" t="s">
        <v>21</v>
      </c>
      <c r="J303" s="1" t="s">
        <v>22</v>
      </c>
      <c r="K303" s="1" t="s">
        <v>32</v>
      </c>
      <c r="L303" s="1" t="s">
        <v>24</v>
      </c>
      <c r="M303" s="1" t="s">
        <v>25</v>
      </c>
      <c r="N303" s="1" t="s">
        <v>26</v>
      </c>
      <c r="O303" s="1">
        <v>30000</v>
      </c>
      <c r="P303" s="3" t="str">
        <f>IF(Table1[[#This Row],[Designation]]="Line Operator","Line Operator", "Other")</f>
        <v>Line Operator</v>
      </c>
    </row>
    <row r="304" spans="1:16" ht="15.75" customHeight="1" x14ac:dyDescent="0.25">
      <c r="A304" s="1" t="s">
        <v>644</v>
      </c>
      <c r="B304" s="1" t="s">
        <v>645</v>
      </c>
      <c r="C304" s="1" t="s">
        <v>36</v>
      </c>
      <c r="D304" s="1" t="s">
        <v>646</v>
      </c>
      <c r="E304" s="1" t="s">
        <v>75</v>
      </c>
      <c r="F304" s="1" t="s">
        <v>31</v>
      </c>
      <c r="G304" s="8">
        <v>45472</v>
      </c>
      <c r="H304" s="1">
        <v>45292</v>
      </c>
      <c r="I304" s="1" t="s">
        <v>21</v>
      </c>
      <c r="J304" s="1" t="s">
        <v>22</v>
      </c>
      <c r="K304" s="1" t="s">
        <v>32</v>
      </c>
      <c r="L304" s="1" t="s">
        <v>24</v>
      </c>
      <c r="M304" s="1" t="s">
        <v>25</v>
      </c>
      <c r="N304" s="1" t="s">
        <v>26</v>
      </c>
      <c r="O304" s="1">
        <v>30000</v>
      </c>
      <c r="P304" s="3" t="str">
        <f>IF(Table1[[#This Row],[Designation]]="Line Operator","Line Operator", "Other")</f>
        <v>Other</v>
      </c>
    </row>
    <row r="305" spans="1:16" ht="15.75" customHeight="1" x14ac:dyDescent="0.25">
      <c r="A305" s="1" t="s">
        <v>647</v>
      </c>
      <c r="B305" s="1" t="s">
        <v>648</v>
      </c>
      <c r="C305" s="1" t="s">
        <v>36</v>
      </c>
      <c r="D305" s="1" t="s">
        <v>646</v>
      </c>
      <c r="E305" s="1" t="s">
        <v>75</v>
      </c>
      <c r="F305" s="1" t="s">
        <v>31</v>
      </c>
      <c r="G305" s="8">
        <v>45472</v>
      </c>
      <c r="H305" s="1">
        <v>45292</v>
      </c>
      <c r="I305" s="1" t="s">
        <v>21</v>
      </c>
      <c r="J305" s="1" t="s">
        <v>22</v>
      </c>
      <c r="K305" s="1" t="s">
        <v>32</v>
      </c>
      <c r="L305" s="1" t="s">
        <v>24</v>
      </c>
      <c r="M305" s="1" t="s">
        <v>25</v>
      </c>
      <c r="N305" s="1" t="s">
        <v>26</v>
      </c>
      <c r="O305" s="1">
        <v>30000</v>
      </c>
      <c r="P305" s="3" t="str">
        <f>IF(Table1[[#This Row],[Designation]]="Line Operator","Line Operator", "Other")</f>
        <v>Other</v>
      </c>
    </row>
    <row r="306" spans="1:16" ht="15.75" customHeight="1" x14ac:dyDescent="0.25">
      <c r="A306" s="1" t="s">
        <v>649</v>
      </c>
      <c r="B306" s="1" t="s">
        <v>650</v>
      </c>
      <c r="C306" s="1" t="s">
        <v>44</v>
      </c>
      <c r="D306" s="1" t="s">
        <v>18</v>
      </c>
      <c r="E306" s="1" t="s">
        <v>75</v>
      </c>
      <c r="F306" s="1" t="s">
        <v>31</v>
      </c>
      <c r="G306" s="8">
        <v>45473</v>
      </c>
      <c r="H306" s="1">
        <v>45293</v>
      </c>
      <c r="I306" s="1" t="s">
        <v>21</v>
      </c>
      <c r="J306" s="1" t="s">
        <v>22</v>
      </c>
      <c r="K306" s="1" t="s">
        <v>148</v>
      </c>
      <c r="L306" s="1" t="s">
        <v>518</v>
      </c>
      <c r="M306" s="1" t="s">
        <v>47</v>
      </c>
      <c r="N306" s="1" t="s">
        <v>26</v>
      </c>
      <c r="O306" s="1">
        <v>30000</v>
      </c>
      <c r="P306" s="3" t="str">
        <f>IF(Table1[[#This Row],[Designation]]="Line Operator","Line Operator", "Other")</f>
        <v>Line Operator</v>
      </c>
    </row>
    <row r="307" spans="1:16" ht="15.75" customHeight="1" x14ac:dyDescent="0.25">
      <c r="A307" s="1" t="s">
        <v>651</v>
      </c>
      <c r="B307" s="1" t="s">
        <v>652</v>
      </c>
      <c r="C307" s="1" t="s">
        <v>44</v>
      </c>
      <c r="D307" s="1" t="s">
        <v>18</v>
      </c>
      <c r="E307" s="1" t="s">
        <v>75</v>
      </c>
      <c r="F307" s="1" t="s">
        <v>31</v>
      </c>
      <c r="G307" s="8">
        <v>45473</v>
      </c>
      <c r="H307" s="1">
        <v>45293</v>
      </c>
      <c r="I307" s="1" t="s">
        <v>21</v>
      </c>
      <c r="J307" s="1" t="s">
        <v>22</v>
      </c>
      <c r="K307" s="1" t="s">
        <v>23</v>
      </c>
      <c r="L307" s="1" t="s">
        <v>96</v>
      </c>
      <c r="M307" s="1" t="s">
        <v>47</v>
      </c>
      <c r="N307" s="1" t="s">
        <v>26</v>
      </c>
      <c r="O307" s="1">
        <v>30000</v>
      </c>
      <c r="P307" s="3" t="str">
        <f>IF(Table1[[#This Row],[Designation]]="Line Operator","Line Operator", "Other")</f>
        <v>Line Operator</v>
      </c>
    </row>
    <row r="308" spans="1:16" ht="15.75" customHeight="1" x14ac:dyDescent="0.25">
      <c r="A308" s="1" t="s">
        <v>653</v>
      </c>
      <c r="B308" s="1" t="s">
        <v>654</v>
      </c>
      <c r="C308" s="1" t="s">
        <v>36</v>
      </c>
      <c r="D308" s="1" t="s">
        <v>18</v>
      </c>
      <c r="E308" s="1" t="s">
        <v>75</v>
      </c>
      <c r="F308" s="1" t="s">
        <v>31</v>
      </c>
      <c r="G308" s="8">
        <v>45473</v>
      </c>
      <c r="H308" s="1">
        <v>45293</v>
      </c>
      <c r="I308" s="1" t="s">
        <v>21</v>
      </c>
      <c r="J308" s="1" t="s">
        <v>22</v>
      </c>
      <c r="K308" s="1" t="s">
        <v>38</v>
      </c>
      <c r="L308" s="1" t="s">
        <v>24</v>
      </c>
      <c r="M308" s="1" t="s">
        <v>25</v>
      </c>
      <c r="N308" s="1" t="s">
        <v>26</v>
      </c>
      <c r="O308" s="1">
        <v>30000</v>
      </c>
      <c r="P308" s="3" t="str">
        <f>IF(Table1[[#This Row],[Designation]]="Line Operator","Line Operator", "Other")</f>
        <v>Line Operator</v>
      </c>
    </row>
    <row r="309" spans="1:16" ht="15.75" customHeight="1" x14ac:dyDescent="0.25">
      <c r="A309" s="1" t="s">
        <v>655</v>
      </c>
      <c r="B309" s="1" t="s">
        <v>656</v>
      </c>
      <c r="C309" s="1" t="s">
        <v>44</v>
      </c>
      <c r="D309" s="1" t="s">
        <v>18</v>
      </c>
      <c r="E309" s="1" t="s">
        <v>75</v>
      </c>
      <c r="F309" s="1" t="s">
        <v>31</v>
      </c>
      <c r="G309" s="8">
        <v>45474</v>
      </c>
      <c r="H309" s="1">
        <v>45294</v>
      </c>
      <c r="I309" s="1" t="s">
        <v>81</v>
      </c>
      <c r="J309" s="1" t="s">
        <v>22</v>
      </c>
      <c r="K309" s="1" t="s">
        <v>38</v>
      </c>
      <c r="L309" s="1" t="s">
        <v>282</v>
      </c>
      <c r="M309" s="1" t="s">
        <v>283</v>
      </c>
      <c r="N309" s="1" t="s">
        <v>26</v>
      </c>
      <c r="O309" s="1">
        <v>30000</v>
      </c>
      <c r="P309" s="3" t="str">
        <f>IF(Table1[[#This Row],[Designation]]="Line Operator","Line Operator", "Other")</f>
        <v>Line Operator</v>
      </c>
    </row>
    <row r="310" spans="1:16" ht="15.75" customHeight="1" x14ac:dyDescent="0.25">
      <c r="A310" s="1" t="s">
        <v>657</v>
      </c>
      <c r="B310" s="1" t="s">
        <v>658</v>
      </c>
      <c r="C310" s="1" t="s">
        <v>44</v>
      </c>
      <c r="D310" s="1" t="s">
        <v>18</v>
      </c>
      <c r="E310" s="1" t="s">
        <v>75</v>
      </c>
      <c r="F310" s="1" t="s">
        <v>31</v>
      </c>
      <c r="G310" s="8">
        <v>45474</v>
      </c>
      <c r="H310" s="1">
        <v>45294</v>
      </c>
      <c r="I310" s="1" t="s">
        <v>81</v>
      </c>
      <c r="J310" s="1" t="s">
        <v>22</v>
      </c>
      <c r="K310" s="1" t="s">
        <v>32</v>
      </c>
      <c r="L310" s="1" t="s">
        <v>24</v>
      </c>
      <c r="M310" s="1" t="s">
        <v>25</v>
      </c>
      <c r="N310" s="1" t="s">
        <v>26</v>
      </c>
      <c r="O310" s="1">
        <v>30000</v>
      </c>
      <c r="P310" s="3" t="str">
        <f>IF(Table1[[#This Row],[Designation]]="Line Operator","Line Operator", "Other")</f>
        <v>Line Operator</v>
      </c>
    </row>
    <row r="311" spans="1:16" ht="15.75" customHeight="1" x14ac:dyDescent="0.25">
      <c r="A311" s="1" t="s">
        <v>659</v>
      </c>
      <c r="B311" s="1" t="s">
        <v>660</v>
      </c>
      <c r="C311" s="1" t="s">
        <v>36</v>
      </c>
      <c r="D311" s="1" t="s">
        <v>18</v>
      </c>
      <c r="E311" s="1" t="s">
        <v>75</v>
      </c>
      <c r="F311" s="1" t="s">
        <v>31</v>
      </c>
      <c r="G311" s="8">
        <v>45477</v>
      </c>
      <c r="H311" s="1">
        <v>45297</v>
      </c>
      <c r="I311" s="1" t="s">
        <v>21</v>
      </c>
      <c r="J311" s="1" t="s">
        <v>22</v>
      </c>
      <c r="K311" s="1" t="s">
        <v>23</v>
      </c>
      <c r="L311" s="1" t="s">
        <v>96</v>
      </c>
      <c r="M311" s="1" t="s">
        <v>47</v>
      </c>
      <c r="N311" s="1" t="s">
        <v>26</v>
      </c>
      <c r="O311" s="1">
        <v>30000</v>
      </c>
      <c r="P311" s="3" t="str">
        <f>IF(Table1[[#This Row],[Designation]]="Line Operator","Line Operator", "Other")</f>
        <v>Line Operator</v>
      </c>
    </row>
    <row r="312" spans="1:16" ht="15.75" customHeight="1" x14ac:dyDescent="0.25">
      <c r="A312" s="1" t="s">
        <v>661</v>
      </c>
      <c r="B312" s="1" t="s">
        <v>662</v>
      </c>
      <c r="C312" s="1" t="s">
        <v>17</v>
      </c>
      <c r="D312" s="1" t="s">
        <v>18</v>
      </c>
      <c r="E312" s="1" t="s">
        <v>75</v>
      </c>
      <c r="F312" s="1" t="s">
        <v>31</v>
      </c>
      <c r="G312" s="8">
        <v>45477</v>
      </c>
      <c r="H312" s="1">
        <v>45297</v>
      </c>
      <c r="I312" s="1" t="s">
        <v>21</v>
      </c>
      <c r="J312" s="1" t="s">
        <v>22</v>
      </c>
      <c r="K312" s="1" t="s">
        <v>23</v>
      </c>
      <c r="L312" s="1" t="s">
        <v>96</v>
      </c>
      <c r="M312" s="1" t="s">
        <v>47</v>
      </c>
      <c r="N312" s="1" t="s">
        <v>26</v>
      </c>
      <c r="O312" s="1">
        <v>30000</v>
      </c>
      <c r="P312" s="3" t="str">
        <f>IF(Table1[[#This Row],[Designation]]="Line Operator","Line Operator", "Other")</f>
        <v>Line Operator</v>
      </c>
    </row>
    <row r="313" spans="1:16" ht="15.75" customHeight="1" x14ac:dyDescent="0.25">
      <c r="A313" s="1" t="s">
        <v>663</v>
      </c>
      <c r="B313" s="1" t="s">
        <v>664</v>
      </c>
      <c r="C313" s="1" t="s">
        <v>17</v>
      </c>
      <c r="D313" s="1" t="s">
        <v>18</v>
      </c>
      <c r="E313" s="1" t="s">
        <v>75</v>
      </c>
      <c r="F313" s="1" t="s">
        <v>31</v>
      </c>
      <c r="G313" s="8">
        <v>45477</v>
      </c>
      <c r="H313" s="1">
        <v>45297</v>
      </c>
      <c r="I313" s="1" t="s">
        <v>81</v>
      </c>
      <c r="J313" s="1" t="s">
        <v>37</v>
      </c>
      <c r="K313" s="1" t="s">
        <v>23</v>
      </c>
      <c r="L313" s="1" t="s">
        <v>290</v>
      </c>
      <c r="M313" s="1" t="s">
        <v>47</v>
      </c>
      <c r="N313" s="1" t="s">
        <v>26</v>
      </c>
      <c r="O313" s="1">
        <v>30000</v>
      </c>
      <c r="P313" s="3" t="str">
        <f>IF(Table1[[#This Row],[Designation]]="Line Operator","Line Operator", "Other")</f>
        <v>Line Operator</v>
      </c>
    </row>
    <row r="314" spans="1:16" ht="15.75" customHeight="1" x14ac:dyDescent="0.25">
      <c r="A314" s="1" t="s">
        <v>665</v>
      </c>
      <c r="B314" s="1" t="s">
        <v>666</v>
      </c>
      <c r="C314" s="1" t="s">
        <v>36</v>
      </c>
      <c r="D314" s="1" t="s">
        <v>18</v>
      </c>
      <c r="E314" s="1" t="s">
        <v>75</v>
      </c>
      <c r="F314" s="1" t="s">
        <v>31</v>
      </c>
      <c r="G314" s="8">
        <v>45477</v>
      </c>
      <c r="H314" s="1">
        <v>45297</v>
      </c>
      <c r="I314" s="1" t="s">
        <v>81</v>
      </c>
      <c r="J314" s="1" t="s">
        <v>22</v>
      </c>
      <c r="K314" s="1" t="s">
        <v>32</v>
      </c>
      <c r="L314" s="1" t="s">
        <v>24</v>
      </c>
      <c r="M314" s="1" t="s">
        <v>25</v>
      </c>
      <c r="N314" s="1" t="s">
        <v>26</v>
      </c>
      <c r="O314" s="1">
        <v>6000</v>
      </c>
      <c r="P314" s="3" t="str">
        <f>IF(Table1[[#This Row],[Designation]]="Line Operator","Line Operator", "Other")</f>
        <v>Line Operator</v>
      </c>
    </row>
    <row r="315" spans="1:16" ht="15.75" customHeight="1" x14ac:dyDescent="0.25">
      <c r="A315" s="1" t="s">
        <v>667</v>
      </c>
      <c r="B315" s="1" t="s">
        <v>668</v>
      </c>
      <c r="C315" s="1" t="s">
        <v>36</v>
      </c>
      <c r="D315" s="1" t="s">
        <v>169</v>
      </c>
      <c r="E315" s="1" t="s">
        <v>30</v>
      </c>
      <c r="F315" s="1" t="s">
        <v>31</v>
      </c>
      <c r="G315" s="8">
        <v>45475</v>
      </c>
      <c r="H315" s="1">
        <v>45295</v>
      </c>
      <c r="I315" s="1" t="s">
        <v>21</v>
      </c>
      <c r="J315" s="1" t="s">
        <v>22</v>
      </c>
      <c r="K315" s="1" t="s">
        <v>32</v>
      </c>
      <c r="L315" s="1" t="s">
        <v>172</v>
      </c>
      <c r="M315" s="1" t="s">
        <v>51</v>
      </c>
      <c r="N315" s="1" t="s">
        <v>26</v>
      </c>
      <c r="O315" s="1">
        <v>6000</v>
      </c>
      <c r="P315" s="3" t="str">
        <f>IF(Table1[[#This Row],[Designation]]="Line Operator","Line Operator", "Other")</f>
        <v>Other</v>
      </c>
    </row>
    <row r="316" spans="1:16" ht="15.75" customHeight="1" x14ac:dyDescent="0.25">
      <c r="A316" s="1" t="s">
        <v>669</v>
      </c>
      <c r="B316" s="1" t="s">
        <v>670</v>
      </c>
      <c r="C316" s="1" t="s">
        <v>44</v>
      </c>
      <c r="D316" s="1" t="s">
        <v>18</v>
      </c>
      <c r="E316" s="1" t="s">
        <v>75</v>
      </c>
      <c r="F316" s="1" t="s">
        <v>31</v>
      </c>
      <c r="G316" s="8">
        <v>45477</v>
      </c>
      <c r="H316" s="1">
        <v>45297</v>
      </c>
      <c r="I316" s="1" t="s">
        <v>21</v>
      </c>
      <c r="J316" s="1" t="s">
        <v>22</v>
      </c>
      <c r="K316" s="1" t="s">
        <v>115</v>
      </c>
      <c r="L316" s="1" t="s">
        <v>24</v>
      </c>
      <c r="M316" s="1" t="s">
        <v>25</v>
      </c>
      <c r="N316" s="1" t="s">
        <v>26</v>
      </c>
      <c r="O316" s="1">
        <v>6000</v>
      </c>
      <c r="P316" s="3" t="str">
        <f>IF(Table1[[#This Row],[Designation]]="Line Operator","Line Operator", "Other")</f>
        <v>Line Operator</v>
      </c>
    </row>
    <row r="317" spans="1:16" ht="15.75" customHeight="1" x14ac:dyDescent="0.25">
      <c r="A317" s="1" t="s">
        <v>671</v>
      </c>
      <c r="B317" s="1" t="s">
        <v>672</v>
      </c>
      <c r="C317" s="1" t="s">
        <v>44</v>
      </c>
      <c r="D317" s="1" t="s">
        <v>18</v>
      </c>
      <c r="E317" s="1" t="s">
        <v>75</v>
      </c>
      <c r="F317" s="1" t="s">
        <v>31</v>
      </c>
      <c r="G317" s="8">
        <v>45477</v>
      </c>
      <c r="H317" s="1">
        <v>45297</v>
      </c>
      <c r="I317" s="1" t="s">
        <v>21</v>
      </c>
      <c r="J317" s="1" t="s">
        <v>22</v>
      </c>
      <c r="K317" s="1" t="s">
        <v>23</v>
      </c>
      <c r="L317" s="1" t="s">
        <v>220</v>
      </c>
      <c r="M317" s="1" t="s">
        <v>25</v>
      </c>
      <c r="N317" s="1" t="s">
        <v>26</v>
      </c>
      <c r="O317" s="1">
        <v>6000</v>
      </c>
      <c r="P317" s="3" t="str">
        <f>IF(Table1[[#This Row],[Designation]]="Line Operator","Line Operator", "Other")</f>
        <v>Line Operator</v>
      </c>
    </row>
    <row r="318" spans="1:16" ht="15.75" customHeight="1" x14ac:dyDescent="0.25">
      <c r="A318" s="1" t="s">
        <v>673</v>
      </c>
      <c r="B318" s="1" t="s">
        <v>674</v>
      </c>
      <c r="C318" s="1" t="s">
        <v>44</v>
      </c>
      <c r="D318" s="1" t="s">
        <v>18</v>
      </c>
      <c r="E318" s="1" t="s">
        <v>75</v>
      </c>
      <c r="F318" s="1" t="s">
        <v>31</v>
      </c>
      <c r="G318" s="8">
        <v>45480</v>
      </c>
      <c r="H318" s="1">
        <v>45300</v>
      </c>
      <c r="I318" s="1" t="s">
        <v>21</v>
      </c>
      <c r="J318" s="1" t="s">
        <v>22</v>
      </c>
      <c r="K318" s="1" t="s">
        <v>115</v>
      </c>
      <c r="L318" s="1" t="s">
        <v>119</v>
      </c>
      <c r="M318" s="1" t="s">
        <v>25</v>
      </c>
      <c r="N318" s="1" t="s">
        <v>26</v>
      </c>
      <c r="O318" s="1">
        <v>6000</v>
      </c>
      <c r="P318" s="3" t="str">
        <f>IF(Table1[[#This Row],[Designation]]="Line Operator","Line Operator", "Other")</f>
        <v>Line Operator</v>
      </c>
    </row>
    <row r="319" spans="1:16" ht="15.75" customHeight="1" x14ac:dyDescent="0.25">
      <c r="A319" s="1" t="s">
        <v>675</v>
      </c>
      <c r="B319" s="1" t="s">
        <v>676</v>
      </c>
      <c r="C319" s="1" t="s">
        <v>36</v>
      </c>
      <c r="D319" s="1" t="s">
        <v>18</v>
      </c>
      <c r="E319" s="1" t="s">
        <v>75</v>
      </c>
      <c r="F319" s="1" t="s">
        <v>31</v>
      </c>
      <c r="G319" s="8">
        <v>45480</v>
      </c>
      <c r="H319" s="1">
        <v>45300</v>
      </c>
      <c r="I319" s="1" t="s">
        <v>81</v>
      </c>
      <c r="J319" s="1" t="s">
        <v>22</v>
      </c>
      <c r="K319" s="1" t="s">
        <v>115</v>
      </c>
      <c r="L319" s="1" t="s">
        <v>225</v>
      </c>
      <c r="M319" s="1" t="s">
        <v>47</v>
      </c>
      <c r="N319" s="1" t="s">
        <v>26</v>
      </c>
      <c r="O319" s="1">
        <v>6000</v>
      </c>
      <c r="P319" s="3" t="str">
        <f>IF(Table1[[#This Row],[Designation]]="Line Operator","Line Operator", "Other")</f>
        <v>Line Operator</v>
      </c>
    </row>
    <row r="320" spans="1:16" ht="15.75" customHeight="1" x14ac:dyDescent="0.25">
      <c r="A320" s="1" t="s">
        <v>677</v>
      </c>
      <c r="B320" s="1" t="s">
        <v>678</v>
      </c>
      <c r="C320" s="1" t="s">
        <v>205</v>
      </c>
      <c r="D320" s="1" t="s">
        <v>18</v>
      </c>
      <c r="E320" s="1" t="s">
        <v>75</v>
      </c>
      <c r="F320" s="1" t="s">
        <v>31</v>
      </c>
      <c r="G320" s="8">
        <v>45480</v>
      </c>
      <c r="H320" s="1">
        <v>45300</v>
      </c>
      <c r="I320" s="1" t="s">
        <v>81</v>
      </c>
      <c r="J320" s="1" t="s">
        <v>37</v>
      </c>
      <c r="K320" s="1" t="s">
        <v>38</v>
      </c>
      <c r="L320" s="1" t="s">
        <v>220</v>
      </c>
      <c r="M320" s="1" t="s">
        <v>25</v>
      </c>
      <c r="N320" s="1" t="s">
        <v>26</v>
      </c>
      <c r="O320" s="1">
        <v>6000</v>
      </c>
      <c r="P320" s="3" t="str">
        <f>IF(Table1[[#This Row],[Designation]]="Line Operator","Line Operator", "Other")</f>
        <v>Line Operator</v>
      </c>
    </row>
    <row r="321" spans="1:16" ht="15.75" customHeight="1" x14ac:dyDescent="0.25">
      <c r="A321" s="1" t="s">
        <v>679</v>
      </c>
      <c r="B321" s="1" t="s">
        <v>680</v>
      </c>
      <c r="C321" s="1" t="s">
        <v>17</v>
      </c>
      <c r="D321" s="1" t="s">
        <v>18</v>
      </c>
      <c r="E321" s="1" t="s">
        <v>75</v>
      </c>
      <c r="F321" s="1" t="s">
        <v>31</v>
      </c>
      <c r="G321" s="8">
        <v>45480</v>
      </c>
      <c r="H321" s="1">
        <v>45300</v>
      </c>
      <c r="I321" s="1" t="s">
        <v>81</v>
      </c>
      <c r="J321" s="1" t="s">
        <v>22</v>
      </c>
      <c r="K321" s="1" t="s">
        <v>38</v>
      </c>
      <c r="L321" s="1" t="s">
        <v>220</v>
      </c>
      <c r="M321" s="1" t="s">
        <v>25</v>
      </c>
      <c r="N321" s="1" t="s">
        <v>26</v>
      </c>
      <c r="O321" s="1">
        <v>6000</v>
      </c>
      <c r="P321" s="3" t="str">
        <f>IF(Table1[[#This Row],[Designation]]="Line Operator","Line Operator", "Other")</f>
        <v>Line Operator</v>
      </c>
    </row>
    <row r="322" spans="1:16" ht="15.75" customHeight="1" x14ac:dyDescent="0.25">
      <c r="A322" s="1" t="s">
        <v>681</v>
      </c>
      <c r="B322" s="1" t="s">
        <v>682</v>
      </c>
      <c r="C322" s="1" t="s">
        <v>44</v>
      </c>
      <c r="D322" s="1" t="s">
        <v>18</v>
      </c>
      <c r="E322" s="1" t="s">
        <v>75</v>
      </c>
      <c r="F322" s="1" t="s">
        <v>31</v>
      </c>
      <c r="G322" s="8">
        <v>45480</v>
      </c>
      <c r="H322" s="1">
        <v>45300</v>
      </c>
      <c r="I322" s="1" t="s">
        <v>81</v>
      </c>
      <c r="J322" s="1" t="s">
        <v>22</v>
      </c>
      <c r="K322" s="1" t="s">
        <v>115</v>
      </c>
      <c r="L322" s="1" t="s">
        <v>220</v>
      </c>
      <c r="M322" s="1" t="s">
        <v>25</v>
      </c>
      <c r="N322" s="1" t="s">
        <v>26</v>
      </c>
      <c r="O322" s="1">
        <v>6000</v>
      </c>
      <c r="P322" s="3" t="str">
        <f>IF(Table1[[#This Row],[Designation]]="Line Operator","Line Operator", "Other")</f>
        <v>Line Operator</v>
      </c>
    </row>
    <row r="323" spans="1:16" ht="15.75" customHeight="1" x14ac:dyDescent="0.25">
      <c r="A323" s="1" t="s">
        <v>683</v>
      </c>
      <c r="B323" s="1" t="s">
        <v>684</v>
      </c>
      <c r="C323" s="1" t="s">
        <v>17</v>
      </c>
      <c r="D323" s="1" t="s">
        <v>18</v>
      </c>
      <c r="E323" s="1" t="s">
        <v>75</v>
      </c>
      <c r="F323" s="1" t="s">
        <v>31</v>
      </c>
      <c r="G323" s="8">
        <v>45481</v>
      </c>
      <c r="H323" s="1">
        <v>45301</v>
      </c>
      <c r="I323" s="1" t="s">
        <v>21</v>
      </c>
      <c r="J323" s="1" t="s">
        <v>22</v>
      </c>
      <c r="K323" s="1" t="s">
        <v>23</v>
      </c>
      <c r="L323" s="1" t="s">
        <v>225</v>
      </c>
      <c r="M323" s="1" t="s">
        <v>47</v>
      </c>
      <c r="N323" s="1" t="s">
        <v>26</v>
      </c>
      <c r="O323" s="1">
        <v>6000</v>
      </c>
      <c r="P323" s="3" t="str">
        <f>IF(Table1[[#This Row],[Designation]]="Line Operator","Line Operator", "Other")</f>
        <v>Line Operator</v>
      </c>
    </row>
    <row r="324" spans="1:16" ht="15.75" customHeight="1" x14ac:dyDescent="0.25">
      <c r="A324" s="1" t="s">
        <v>685</v>
      </c>
      <c r="B324" s="1" t="s">
        <v>686</v>
      </c>
      <c r="C324" s="1" t="s">
        <v>17</v>
      </c>
      <c r="D324" s="1" t="s">
        <v>18</v>
      </c>
      <c r="E324" s="1" t="s">
        <v>75</v>
      </c>
      <c r="F324" s="1" t="s">
        <v>31</v>
      </c>
      <c r="G324" s="8">
        <v>45481</v>
      </c>
      <c r="H324" s="1">
        <v>45301</v>
      </c>
      <c r="I324" s="1" t="s">
        <v>81</v>
      </c>
      <c r="J324" s="1" t="s">
        <v>22</v>
      </c>
      <c r="K324" s="1" t="s">
        <v>23</v>
      </c>
      <c r="L324" s="1" t="s">
        <v>225</v>
      </c>
      <c r="M324" s="1" t="s">
        <v>47</v>
      </c>
      <c r="N324" s="1" t="s">
        <v>26</v>
      </c>
      <c r="O324" s="1">
        <v>6000</v>
      </c>
      <c r="P324" s="3" t="str">
        <f>IF(Table1[[#This Row],[Designation]]="Line Operator","Line Operator", "Other")</f>
        <v>Line Operator</v>
      </c>
    </row>
    <row r="325" spans="1:16" ht="15.75" customHeight="1" x14ac:dyDescent="0.25">
      <c r="A325" s="1" t="s">
        <v>687</v>
      </c>
      <c r="B325" s="1" t="s">
        <v>688</v>
      </c>
      <c r="C325" s="1" t="s">
        <v>44</v>
      </c>
      <c r="D325" s="1" t="s">
        <v>18</v>
      </c>
      <c r="E325" s="1" t="s">
        <v>75</v>
      </c>
      <c r="F325" s="1" t="s">
        <v>31</v>
      </c>
      <c r="G325" s="8">
        <v>45481</v>
      </c>
      <c r="H325" s="1">
        <v>45301</v>
      </c>
      <c r="I325" s="1" t="s">
        <v>81</v>
      </c>
      <c r="J325" s="1" t="s">
        <v>22</v>
      </c>
      <c r="K325" s="1" t="s">
        <v>115</v>
      </c>
      <c r="L325" s="1" t="s">
        <v>689</v>
      </c>
      <c r="M325" s="1" t="s">
        <v>102</v>
      </c>
      <c r="N325" s="1" t="s">
        <v>26</v>
      </c>
      <c r="O325" s="1">
        <v>6000</v>
      </c>
      <c r="P325" s="3" t="str">
        <f>IF(Table1[[#This Row],[Designation]]="Line Operator","Line Operator", "Other")</f>
        <v>Line Operator</v>
      </c>
    </row>
    <row r="326" spans="1:16" ht="15.75" customHeight="1" x14ac:dyDescent="0.25">
      <c r="A326" s="1" t="s">
        <v>690</v>
      </c>
      <c r="B326" s="1" t="s">
        <v>334</v>
      </c>
      <c r="C326" s="1" t="s">
        <v>36</v>
      </c>
      <c r="D326" s="1" t="s">
        <v>18</v>
      </c>
      <c r="E326" s="1" t="s">
        <v>75</v>
      </c>
      <c r="F326" s="1" t="s">
        <v>31</v>
      </c>
      <c r="G326" s="8">
        <v>45481</v>
      </c>
      <c r="H326" s="1">
        <v>45301</v>
      </c>
      <c r="I326" s="1" t="s">
        <v>21</v>
      </c>
      <c r="J326" s="1" t="s">
        <v>22</v>
      </c>
      <c r="K326" s="1" t="s">
        <v>23</v>
      </c>
      <c r="L326" s="1" t="s">
        <v>96</v>
      </c>
      <c r="M326" s="1" t="s">
        <v>47</v>
      </c>
      <c r="N326" s="1" t="s">
        <v>26</v>
      </c>
      <c r="O326" s="1">
        <v>6000</v>
      </c>
      <c r="P326" s="3" t="str">
        <f>IF(Table1[[#This Row],[Designation]]="Line Operator","Line Operator", "Other")</f>
        <v>Line Operator</v>
      </c>
    </row>
    <row r="327" spans="1:16" ht="15.75" customHeight="1" x14ac:dyDescent="0.25">
      <c r="A327" s="1" t="s">
        <v>691</v>
      </c>
      <c r="B327" s="1" t="s">
        <v>60</v>
      </c>
      <c r="C327" s="1" t="s">
        <v>36</v>
      </c>
      <c r="D327" s="1" t="s">
        <v>18</v>
      </c>
      <c r="E327" s="1" t="s">
        <v>75</v>
      </c>
      <c r="F327" s="1" t="s">
        <v>31</v>
      </c>
      <c r="G327" s="8">
        <v>45481</v>
      </c>
      <c r="H327" s="1">
        <v>45301</v>
      </c>
      <c r="I327" s="1" t="s">
        <v>21</v>
      </c>
      <c r="J327" s="1" t="s">
        <v>22</v>
      </c>
      <c r="K327" s="1" t="s">
        <v>38</v>
      </c>
      <c r="L327" s="1" t="s">
        <v>96</v>
      </c>
      <c r="M327" s="1" t="s">
        <v>47</v>
      </c>
      <c r="N327" s="1" t="s">
        <v>26</v>
      </c>
      <c r="O327" s="1">
        <v>6000</v>
      </c>
      <c r="P327" s="3" t="str">
        <f>IF(Table1[[#This Row],[Designation]]="Line Operator","Line Operator", "Other")</f>
        <v>Line Operator</v>
      </c>
    </row>
    <row r="328" spans="1:16" ht="15.75" customHeight="1" x14ac:dyDescent="0.25">
      <c r="A328" s="1" t="s">
        <v>692</v>
      </c>
      <c r="B328" s="1" t="s">
        <v>693</v>
      </c>
      <c r="C328" s="1" t="s">
        <v>36</v>
      </c>
      <c r="D328" s="1" t="s">
        <v>18</v>
      </c>
      <c r="E328" s="1" t="s">
        <v>75</v>
      </c>
      <c r="F328" s="1" t="s">
        <v>31</v>
      </c>
      <c r="G328" s="8">
        <v>45481</v>
      </c>
      <c r="H328" s="1">
        <v>45301</v>
      </c>
      <c r="I328" s="1" t="s">
        <v>81</v>
      </c>
      <c r="J328" s="1" t="s">
        <v>22</v>
      </c>
      <c r="K328" s="1" t="s">
        <v>115</v>
      </c>
      <c r="L328" s="1" t="s">
        <v>220</v>
      </c>
      <c r="M328" s="1" t="s">
        <v>25</v>
      </c>
      <c r="N328" s="1" t="s">
        <v>26</v>
      </c>
      <c r="O328" s="1">
        <v>6000</v>
      </c>
      <c r="P328" s="3" t="str">
        <f>IF(Table1[[#This Row],[Designation]]="Line Operator","Line Operator", "Other")</f>
        <v>Line Operator</v>
      </c>
    </row>
    <row r="329" spans="1:16" ht="15.75" customHeight="1" x14ac:dyDescent="0.25">
      <c r="A329" s="1" t="s">
        <v>694</v>
      </c>
      <c r="B329" s="1" t="s">
        <v>695</v>
      </c>
      <c r="C329" s="1" t="s">
        <v>36</v>
      </c>
      <c r="D329" s="1" t="s">
        <v>18</v>
      </c>
      <c r="E329" s="1" t="s">
        <v>75</v>
      </c>
      <c r="F329" s="1" t="s">
        <v>31</v>
      </c>
      <c r="G329" s="8">
        <v>45481</v>
      </c>
      <c r="H329" s="1">
        <v>45301</v>
      </c>
      <c r="I329" s="1" t="s">
        <v>21</v>
      </c>
      <c r="J329" s="1" t="s">
        <v>22</v>
      </c>
      <c r="K329" s="1" t="s">
        <v>38</v>
      </c>
      <c r="L329" s="1" t="s">
        <v>696</v>
      </c>
      <c r="M329" s="1" t="s">
        <v>47</v>
      </c>
      <c r="N329" s="1" t="s">
        <v>26</v>
      </c>
      <c r="O329" s="1">
        <v>6000</v>
      </c>
      <c r="P329" s="3" t="str">
        <f>IF(Table1[[#This Row],[Designation]]="Line Operator","Line Operator", "Other")</f>
        <v>Line Operator</v>
      </c>
    </row>
    <row r="330" spans="1:16" ht="15.75" customHeight="1" x14ac:dyDescent="0.25">
      <c r="A330" s="1" t="s">
        <v>697</v>
      </c>
      <c r="B330" s="1" t="s">
        <v>698</v>
      </c>
      <c r="C330" s="1" t="s">
        <v>44</v>
      </c>
      <c r="D330" s="1" t="s">
        <v>18</v>
      </c>
      <c r="E330" s="1" t="s">
        <v>75</v>
      </c>
      <c r="F330" s="1" t="s">
        <v>31</v>
      </c>
      <c r="G330" s="8">
        <v>45481</v>
      </c>
      <c r="H330" s="1">
        <v>45301</v>
      </c>
      <c r="I330" s="1" t="s">
        <v>21</v>
      </c>
      <c r="J330" s="1" t="s">
        <v>22</v>
      </c>
      <c r="K330" s="1" t="s">
        <v>38</v>
      </c>
      <c r="L330" s="1" t="s">
        <v>24</v>
      </c>
      <c r="M330" s="1" t="s">
        <v>25</v>
      </c>
      <c r="N330" s="1" t="s">
        <v>26</v>
      </c>
      <c r="O330" s="1">
        <v>6000</v>
      </c>
      <c r="P330" s="3" t="str">
        <f>IF(Table1[[#This Row],[Designation]]="Line Operator","Line Operator", "Other")</f>
        <v>Line Operator</v>
      </c>
    </row>
    <row r="331" spans="1:16" ht="15.75" customHeight="1" x14ac:dyDescent="0.25">
      <c r="A331" s="1" t="s">
        <v>699</v>
      </c>
      <c r="B331" s="1" t="s">
        <v>456</v>
      </c>
      <c r="C331" s="1" t="s">
        <v>44</v>
      </c>
      <c r="D331" s="1" t="s">
        <v>18</v>
      </c>
      <c r="E331" s="1" t="s">
        <v>75</v>
      </c>
      <c r="F331" s="1" t="s">
        <v>31</v>
      </c>
      <c r="G331" s="8">
        <v>45481</v>
      </c>
      <c r="H331" s="1">
        <v>45301</v>
      </c>
      <c r="I331" s="1" t="s">
        <v>21</v>
      </c>
      <c r="J331" s="1" t="s">
        <v>22</v>
      </c>
      <c r="K331" s="1" t="s">
        <v>23</v>
      </c>
      <c r="L331" s="1" t="s">
        <v>24</v>
      </c>
      <c r="M331" s="1" t="s">
        <v>25</v>
      </c>
      <c r="N331" s="1" t="s">
        <v>26</v>
      </c>
      <c r="O331" s="1">
        <v>6000</v>
      </c>
      <c r="P331" s="3" t="str">
        <f>IF(Table1[[#This Row],[Designation]]="Line Operator","Line Operator", "Other")</f>
        <v>Line Operator</v>
      </c>
    </row>
    <row r="332" spans="1:16" ht="15.75" customHeight="1" x14ac:dyDescent="0.25">
      <c r="A332" s="1" t="s">
        <v>700</v>
      </c>
      <c r="B332" s="1" t="s">
        <v>701</v>
      </c>
      <c r="C332" s="1" t="s">
        <v>44</v>
      </c>
      <c r="D332" s="1" t="s">
        <v>18</v>
      </c>
      <c r="E332" s="1" t="s">
        <v>75</v>
      </c>
      <c r="F332" s="1" t="s">
        <v>31</v>
      </c>
      <c r="G332" s="8">
        <v>45481</v>
      </c>
      <c r="H332" s="1">
        <v>45301</v>
      </c>
      <c r="I332" s="1" t="s">
        <v>21</v>
      </c>
      <c r="J332" s="1" t="s">
        <v>22</v>
      </c>
      <c r="K332" s="1" t="s">
        <v>23</v>
      </c>
      <c r="L332" s="1" t="s">
        <v>24</v>
      </c>
      <c r="M332" s="1" t="s">
        <v>25</v>
      </c>
      <c r="N332" s="1" t="s">
        <v>26</v>
      </c>
      <c r="O332" s="1">
        <v>6000</v>
      </c>
      <c r="P332" s="3" t="str">
        <f>IF(Table1[[#This Row],[Designation]]="Line Operator","Line Operator", "Other")</f>
        <v>Line Operator</v>
      </c>
    </row>
    <row r="333" spans="1:16" ht="15.75" customHeight="1" x14ac:dyDescent="0.25">
      <c r="A333" s="1" t="s">
        <v>702</v>
      </c>
      <c r="B333" s="1" t="s">
        <v>703</v>
      </c>
      <c r="C333" s="1" t="s">
        <v>36</v>
      </c>
      <c r="D333" s="1" t="s">
        <v>18</v>
      </c>
      <c r="E333" s="1" t="s">
        <v>75</v>
      </c>
      <c r="F333" s="1" t="s">
        <v>31</v>
      </c>
      <c r="G333" s="8">
        <v>45481</v>
      </c>
      <c r="H333" s="1">
        <v>45301</v>
      </c>
      <c r="I333" s="1" t="s">
        <v>81</v>
      </c>
      <c r="J333" s="1" t="s">
        <v>22</v>
      </c>
      <c r="K333" s="1" t="s">
        <v>115</v>
      </c>
      <c r="L333" s="1" t="s">
        <v>24</v>
      </c>
      <c r="M333" s="1" t="s">
        <v>25</v>
      </c>
      <c r="N333" s="1" t="s">
        <v>26</v>
      </c>
      <c r="O333" s="1">
        <v>6000</v>
      </c>
      <c r="P333" s="3" t="str">
        <f>IF(Table1[[#This Row],[Designation]]="Line Operator","Line Operator", "Other")</f>
        <v>Line Operator</v>
      </c>
    </row>
    <row r="334" spans="1:16" ht="15.75" customHeight="1" x14ac:dyDescent="0.25">
      <c r="A334" s="1" t="s">
        <v>704</v>
      </c>
      <c r="B334" s="1" t="s">
        <v>93</v>
      </c>
      <c r="C334" s="1" t="s">
        <v>205</v>
      </c>
      <c r="D334" s="1" t="s">
        <v>169</v>
      </c>
      <c r="E334" s="1" t="s">
        <v>30</v>
      </c>
      <c r="F334" s="1" t="s">
        <v>31</v>
      </c>
      <c r="G334" s="8">
        <v>45482</v>
      </c>
      <c r="H334" s="1">
        <v>45302</v>
      </c>
      <c r="I334" s="1" t="s">
        <v>21</v>
      </c>
      <c r="J334" s="1" t="s">
        <v>37</v>
      </c>
      <c r="K334" s="1" t="s">
        <v>58</v>
      </c>
      <c r="L334" s="1" t="s">
        <v>24</v>
      </c>
      <c r="M334" s="1" t="s">
        <v>25</v>
      </c>
      <c r="N334" s="1" t="s">
        <v>26</v>
      </c>
      <c r="O334" s="1">
        <v>6000</v>
      </c>
      <c r="P334" s="3" t="str">
        <f>IF(Table1[[#This Row],[Designation]]="Line Operator","Line Operator", "Other")</f>
        <v>Other</v>
      </c>
    </row>
    <row r="335" spans="1:16" ht="15.75" customHeight="1" x14ac:dyDescent="0.25">
      <c r="A335" s="1" t="s">
        <v>705</v>
      </c>
      <c r="B335" s="1" t="s">
        <v>706</v>
      </c>
      <c r="C335" s="1" t="s">
        <v>17</v>
      </c>
      <c r="D335" s="1" t="s">
        <v>18</v>
      </c>
      <c r="E335" s="1" t="s">
        <v>75</v>
      </c>
      <c r="F335" s="1" t="s">
        <v>31</v>
      </c>
      <c r="G335" s="8">
        <v>45482</v>
      </c>
      <c r="H335" s="1">
        <v>45302</v>
      </c>
      <c r="I335" s="1" t="s">
        <v>21</v>
      </c>
      <c r="J335" s="1" t="s">
        <v>22</v>
      </c>
      <c r="K335" s="1" t="s">
        <v>23</v>
      </c>
      <c r="L335" s="1" t="s">
        <v>191</v>
      </c>
      <c r="M335" s="1" t="s">
        <v>40</v>
      </c>
      <c r="N335" s="1" t="s">
        <v>26</v>
      </c>
      <c r="O335" s="1">
        <v>6000</v>
      </c>
      <c r="P335" s="3" t="str">
        <f>IF(Table1[[#This Row],[Designation]]="Line Operator","Line Operator", "Other")</f>
        <v>Line Operator</v>
      </c>
    </row>
    <row r="336" spans="1:16" ht="15.75" customHeight="1" x14ac:dyDescent="0.25">
      <c r="A336" s="1" t="s">
        <v>707</v>
      </c>
      <c r="B336" s="1" t="s">
        <v>708</v>
      </c>
      <c r="C336" s="1" t="s">
        <v>44</v>
      </c>
      <c r="D336" s="1" t="s">
        <v>18</v>
      </c>
      <c r="E336" s="1" t="s">
        <v>75</v>
      </c>
      <c r="F336" s="1" t="s">
        <v>31</v>
      </c>
      <c r="G336" s="8">
        <v>45482</v>
      </c>
      <c r="H336" s="1">
        <v>45302</v>
      </c>
      <c r="I336" s="1" t="s">
        <v>21</v>
      </c>
      <c r="J336" s="1" t="s">
        <v>22</v>
      </c>
      <c r="K336" s="1" t="s">
        <v>23</v>
      </c>
      <c r="L336" s="1" t="s">
        <v>24</v>
      </c>
      <c r="M336" s="1" t="s">
        <v>25</v>
      </c>
      <c r="N336" s="1" t="s">
        <v>26</v>
      </c>
      <c r="O336" s="1">
        <v>6000</v>
      </c>
      <c r="P336" s="3" t="str">
        <f>IF(Table1[[#This Row],[Designation]]="Line Operator","Line Operator", "Other")</f>
        <v>Line Operator</v>
      </c>
    </row>
    <row r="337" spans="1:16" ht="15.75" customHeight="1" x14ac:dyDescent="0.25">
      <c r="A337" s="1" t="s">
        <v>709</v>
      </c>
      <c r="B337" s="1" t="s">
        <v>710</v>
      </c>
      <c r="C337" s="1" t="s">
        <v>17</v>
      </c>
      <c r="D337" s="1" t="s">
        <v>18</v>
      </c>
      <c r="E337" s="1" t="s">
        <v>75</v>
      </c>
      <c r="F337" s="1" t="s">
        <v>31</v>
      </c>
      <c r="G337" s="8">
        <v>45482</v>
      </c>
      <c r="H337" s="1">
        <v>45302</v>
      </c>
      <c r="I337" s="1" t="s">
        <v>81</v>
      </c>
      <c r="J337" s="1" t="s">
        <v>37</v>
      </c>
      <c r="K337" s="1" t="s">
        <v>38</v>
      </c>
      <c r="L337" s="1" t="s">
        <v>24</v>
      </c>
      <c r="M337" s="1" t="s">
        <v>25</v>
      </c>
      <c r="N337" s="1" t="s">
        <v>26</v>
      </c>
      <c r="O337" s="1">
        <v>6000</v>
      </c>
      <c r="P337" s="3" t="str">
        <f>IF(Table1[[#This Row],[Designation]]="Line Operator","Line Operator", "Other")</f>
        <v>Line Operator</v>
      </c>
    </row>
    <row r="338" spans="1:16" ht="15.75" customHeight="1" x14ac:dyDescent="0.25">
      <c r="A338" s="1" t="s">
        <v>711</v>
      </c>
      <c r="B338" s="1" t="s">
        <v>712</v>
      </c>
      <c r="C338" s="1" t="s">
        <v>36</v>
      </c>
      <c r="D338" s="1" t="s">
        <v>18</v>
      </c>
      <c r="E338" s="1" t="s">
        <v>75</v>
      </c>
      <c r="F338" s="1" t="s">
        <v>31</v>
      </c>
      <c r="G338" s="8">
        <v>45482</v>
      </c>
      <c r="H338" s="1">
        <v>45302</v>
      </c>
      <c r="I338" s="1" t="s">
        <v>81</v>
      </c>
      <c r="J338" s="1" t="s">
        <v>22</v>
      </c>
      <c r="K338" s="1" t="s">
        <v>23</v>
      </c>
      <c r="L338" s="1" t="s">
        <v>191</v>
      </c>
      <c r="M338" s="1" t="s">
        <v>40</v>
      </c>
      <c r="N338" s="1" t="s">
        <v>26</v>
      </c>
      <c r="O338" s="1">
        <v>6000</v>
      </c>
      <c r="P338" s="3" t="str">
        <f>IF(Table1[[#This Row],[Designation]]="Line Operator","Line Operator", "Other")</f>
        <v>Line Operator</v>
      </c>
    </row>
    <row r="339" spans="1:16" ht="15.75" customHeight="1" x14ac:dyDescent="0.25">
      <c r="A339" s="1" t="s">
        <v>713</v>
      </c>
      <c r="B339" s="1" t="s">
        <v>714</v>
      </c>
      <c r="C339" s="1" t="s">
        <v>36</v>
      </c>
      <c r="D339" s="1" t="s">
        <v>18</v>
      </c>
      <c r="E339" s="1" t="s">
        <v>75</v>
      </c>
      <c r="F339" s="1" t="s">
        <v>31</v>
      </c>
      <c r="G339" s="8">
        <v>45482</v>
      </c>
      <c r="H339" s="1">
        <v>45302</v>
      </c>
      <c r="I339" s="1" t="s">
        <v>81</v>
      </c>
      <c r="J339" s="1" t="s">
        <v>22</v>
      </c>
      <c r="K339" s="1" t="s">
        <v>32</v>
      </c>
      <c r="L339" s="1" t="s">
        <v>225</v>
      </c>
      <c r="M339" s="1" t="s">
        <v>47</v>
      </c>
      <c r="N339" s="1" t="s">
        <v>26</v>
      </c>
      <c r="O339" s="1">
        <v>6000</v>
      </c>
      <c r="P339" s="3" t="str">
        <f>IF(Table1[[#This Row],[Designation]]="Line Operator","Line Operator", "Other")</f>
        <v>Line Operator</v>
      </c>
    </row>
    <row r="340" spans="1:16" ht="15.75" customHeight="1" x14ac:dyDescent="0.25">
      <c r="A340" s="1" t="s">
        <v>715</v>
      </c>
      <c r="B340" s="1" t="s">
        <v>716</v>
      </c>
      <c r="C340" s="1" t="s">
        <v>36</v>
      </c>
      <c r="D340" s="1" t="s">
        <v>18</v>
      </c>
      <c r="E340" s="1" t="s">
        <v>75</v>
      </c>
      <c r="F340" s="1" t="s">
        <v>31</v>
      </c>
      <c r="G340" s="8">
        <v>45483</v>
      </c>
      <c r="H340" s="1">
        <v>45303</v>
      </c>
      <c r="I340" s="1" t="s">
        <v>81</v>
      </c>
      <c r="J340" s="1" t="s">
        <v>22</v>
      </c>
      <c r="K340" s="1" t="s">
        <v>23</v>
      </c>
      <c r="L340" s="1" t="s">
        <v>24</v>
      </c>
      <c r="M340" s="1" t="s">
        <v>25</v>
      </c>
      <c r="N340" s="1" t="s">
        <v>26</v>
      </c>
      <c r="O340" s="1">
        <v>6000</v>
      </c>
      <c r="P340" s="3" t="str">
        <f>IF(Table1[[#This Row],[Designation]]="Line Operator","Line Operator", "Other")</f>
        <v>Line Operator</v>
      </c>
    </row>
    <row r="341" spans="1:16" ht="15.75" customHeight="1" x14ac:dyDescent="0.25">
      <c r="A341" s="1" t="s">
        <v>717</v>
      </c>
      <c r="B341" s="1" t="s">
        <v>718</v>
      </c>
      <c r="C341" s="1" t="s">
        <v>36</v>
      </c>
      <c r="D341" s="1" t="s">
        <v>18</v>
      </c>
      <c r="E341" s="1" t="s">
        <v>75</v>
      </c>
      <c r="F341" s="1" t="s">
        <v>31</v>
      </c>
      <c r="G341" s="8">
        <v>45483</v>
      </c>
      <c r="H341" s="1">
        <v>45303</v>
      </c>
      <c r="I341" s="1" t="s">
        <v>21</v>
      </c>
      <c r="J341" s="1" t="s">
        <v>22</v>
      </c>
      <c r="K341" s="1" t="s">
        <v>32</v>
      </c>
      <c r="L341" s="1" t="s">
        <v>24</v>
      </c>
      <c r="M341" s="1" t="s">
        <v>25</v>
      </c>
      <c r="N341" s="1" t="s">
        <v>26</v>
      </c>
      <c r="O341" s="1">
        <v>6000</v>
      </c>
      <c r="P341" s="3" t="str">
        <f>IF(Table1[[#This Row],[Designation]]="Line Operator","Line Operator", "Other")</f>
        <v>Line Operator</v>
      </c>
    </row>
    <row r="342" spans="1:16" ht="15.75" customHeight="1" x14ac:dyDescent="0.25">
      <c r="A342" s="1" t="s">
        <v>719</v>
      </c>
      <c r="B342" s="1" t="s">
        <v>720</v>
      </c>
      <c r="C342" s="1" t="s">
        <v>205</v>
      </c>
      <c r="D342" s="1" t="s">
        <v>199</v>
      </c>
      <c r="E342" s="1" t="s">
        <v>75</v>
      </c>
      <c r="F342" s="1" t="s">
        <v>31</v>
      </c>
      <c r="G342" s="8">
        <v>45483</v>
      </c>
      <c r="H342" s="1">
        <v>45303</v>
      </c>
      <c r="I342" s="1" t="s">
        <v>21</v>
      </c>
      <c r="J342" s="1" t="s">
        <v>22</v>
      </c>
      <c r="K342" s="1" t="s">
        <v>38</v>
      </c>
      <c r="L342" s="1" t="s">
        <v>24</v>
      </c>
      <c r="M342" s="1" t="s">
        <v>25</v>
      </c>
      <c r="N342" s="1" t="s">
        <v>26</v>
      </c>
      <c r="O342" s="1">
        <v>6000</v>
      </c>
      <c r="P342" s="3" t="str">
        <f>IF(Table1[[#This Row],[Designation]]="Line Operator","Line Operator", "Other")</f>
        <v>Other</v>
      </c>
    </row>
    <row r="343" spans="1:16" ht="15.75" customHeight="1" x14ac:dyDescent="0.25">
      <c r="A343" s="1" t="s">
        <v>721</v>
      </c>
      <c r="B343" s="1" t="s">
        <v>722</v>
      </c>
      <c r="C343" s="1" t="s">
        <v>44</v>
      </c>
      <c r="D343" s="1" t="s">
        <v>18</v>
      </c>
      <c r="E343" s="1" t="s">
        <v>75</v>
      </c>
      <c r="F343" s="1" t="s">
        <v>31</v>
      </c>
      <c r="G343" s="8">
        <v>45483</v>
      </c>
      <c r="H343" s="1">
        <v>45303</v>
      </c>
      <c r="I343" s="1" t="s">
        <v>21</v>
      </c>
      <c r="J343" s="1" t="s">
        <v>22</v>
      </c>
      <c r="K343" s="1" t="s">
        <v>32</v>
      </c>
      <c r="L343" s="1" t="s">
        <v>24</v>
      </c>
      <c r="M343" s="1" t="s">
        <v>25</v>
      </c>
      <c r="N343" s="1" t="s">
        <v>26</v>
      </c>
      <c r="O343" s="1">
        <v>6000</v>
      </c>
      <c r="P343" s="3" t="str">
        <f>IF(Table1[[#This Row],[Designation]]="Line Operator","Line Operator", "Other")</f>
        <v>Line Operator</v>
      </c>
    </row>
    <row r="344" spans="1:16" ht="15.75" customHeight="1" x14ac:dyDescent="0.25">
      <c r="A344" s="1" t="s">
        <v>723</v>
      </c>
      <c r="B344" s="1" t="s">
        <v>724</v>
      </c>
      <c r="C344" s="1" t="s">
        <v>17</v>
      </c>
      <c r="D344" s="1" t="s">
        <v>18</v>
      </c>
      <c r="E344" s="1" t="s">
        <v>75</v>
      </c>
      <c r="F344" s="1" t="s">
        <v>31</v>
      </c>
      <c r="G344" s="8">
        <v>45484</v>
      </c>
      <c r="H344" s="1">
        <v>45304</v>
      </c>
      <c r="I344" s="1" t="s">
        <v>81</v>
      </c>
      <c r="J344" s="1" t="s">
        <v>22</v>
      </c>
      <c r="K344" s="1" t="s">
        <v>23</v>
      </c>
      <c r="L344" s="1" t="s">
        <v>24</v>
      </c>
      <c r="M344" s="1" t="s">
        <v>25</v>
      </c>
      <c r="N344" s="1" t="s">
        <v>26</v>
      </c>
      <c r="O344" s="1">
        <v>6000</v>
      </c>
      <c r="P344" s="3" t="str">
        <f>IF(Table1[[#This Row],[Designation]]="Line Operator","Line Operator", "Other")</f>
        <v>Line Operator</v>
      </c>
    </row>
    <row r="345" spans="1:16" ht="15.75" customHeight="1" x14ac:dyDescent="0.25">
      <c r="A345" s="1" t="s">
        <v>725</v>
      </c>
      <c r="B345" s="1" t="s">
        <v>726</v>
      </c>
      <c r="C345" s="1" t="s">
        <v>17</v>
      </c>
      <c r="D345" s="1" t="s">
        <v>18</v>
      </c>
      <c r="E345" s="1" t="s">
        <v>75</v>
      </c>
      <c r="F345" s="1" t="s">
        <v>31</v>
      </c>
      <c r="G345" s="8">
        <v>45484</v>
      </c>
      <c r="H345" s="1">
        <v>45304</v>
      </c>
      <c r="I345" s="1" t="s">
        <v>21</v>
      </c>
      <c r="J345" s="1" t="s">
        <v>22</v>
      </c>
      <c r="K345" s="1" t="s">
        <v>32</v>
      </c>
      <c r="L345" s="1" t="s">
        <v>24</v>
      </c>
      <c r="M345" s="1" t="s">
        <v>25</v>
      </c>
      <c r="N345" s="1" t="s">
        <v>26</v>
      </c>
      <c r="O345" s="1">
        <v>6000</v>
      </c>
      <c r="P345" s="3" t="str">
        <f>IF(Table1[[#This Row],[Designation]]="Line Operator","Line Operator", "Other")</f>
        <v>Line Operator</v>
      </c>
    </row>
    <row r="346" spans="1:16" ht="15.75" customHeight="1" x14ac:dyDescent="0.25">
      <c r="A346" s="1" t="s">
        <v>727</v>
      </c>
      <c r="B346" s="1" t="s">
        <v>728</v>
      </c>
      <c r="C346" s="1" t="s">
        <v>205</v>
      </c>
      <c r="D346" s="1" t="s">
        <v>18</v>
      </c>
      <c r="E346" s="1" t="s">
        <v>75</v>
      </c>
      <c r="F346" s="1" t="s">
        <v>31</v>
      </c>
      <c r="G346" s="8">
        <v>45484</v>
      </c>
      <c r="H346" s="1">
        <v>45304</v>
      </c>
      <c r="I346" s="1" t="s">
        <v>21</v>
      </c>
      <c r="J346" s="1" t="s">
        <v>22</v>
      </c>
      <c r="K346" s="1" t="s">
        <v>38</v>
      </c>
      <c r="L346" s="1" t="s">
        <v>24</v>
      </c>
      <c r="M346" s="1" t="s">
        <v>25</v>
      </c>
      <c r="N346" s="1" t="s">
        <v>26</v>
      </c>
      <c r="O346" s="1">
        <v>6000</v>
      </c>
      <c r="P346" s="3" t="str">
        <f>IF(Table1[[#This Row],[Designation]]="Line Operator","Line Operator", "Other")</f>
        <v>Line Operator</v>
      </c>
    </row>
    <row r="347" spans="1:16" ht="15.75" customHeight="1" x14ac:dyDescent="0.25">
      <c r="A347" s="1" t="s">
        <v>729</v>
      </c>
      <c r="B347" s="1" t="s">
        <v>730</v>
      </c>
      <c r="C347" s="1" t="s">
        <v>44</v>
      </c>
      <c r="D347" s="1" t="s">
        <v>18</v>
      </c>
      <c r="E347" s="1" t="s">
        <v>75</v>
      </c>
      <c r="F347" s="1" t="s">
        <v>31</v>
      </c>
      <c r="G347" s="8">
        <v>45484</v>
      </c>
      <c r="H347" s="1">
        <v>45304</v>
      </c>
      <c r="I347" s="1" t="s">
        <v>21</v>
      </c>
      <c r="J347" s="1" t="s">
        <v>22</v>
      </c>
      <c r="K347" s="1" t="s">
        <v>23</v>
      </c>
      <c r="L347" s="1" t="s">
        <v>24</v>
      </c>
      <c r="M347" s="1" t="s">
        <v>25</v>
      </c>
      <c r="N347" s="1" t="s">
        <v>26</v>
      </c>
      <c r="O347" s="1">
        <v>6000</v>
      </c>
      <c r="P347" s="3" t="str">
        <f>IF(Table1[[#This Row],[Designation]]="Line Operator","Line Operator", "Other")</f>
        <v>Line Operator</v>
      </c>
    </row>
    <row r="348" spans="1:16" ht="15.75" customHeight="1" x14ac:dyDescent="0.25">
      <c r="A348" s="1" t="s">
        <v>731</v>
      </c>
      <c r="B348" s="1" t="s">
        <v>732</v>
      </c>
      <c r="C348" s="1" t="s">
        <v>36</v>
      </c>
      <c r="D348" s="1" t="s">
        <v>18</v>
      </c>
      <c r="E348" s="1" t="s">
        <v>75</v>
      </c>
      <c r="F348" s="1" t="s">
        <v>31</v>
      </c>
      <c r="G348" s="8">
        <v>45484</v>
      </c>
      <c r="H348" s="1">
        <v>45304</v>
      </c>
      <c r="I348" s="1" t="s">
        <v>21</v>
      </c>
      <c r="J348" s="1" t="s">
        <v>22</v>
      </c>
      <c r="K348" s="1" t="s">
        <v>38</v>
      </c>
      <c r="L348" s="1" t="s">
        <v>225</v>
      </c>
      <c r="M348" s="1" t="s">
        <v>47</v>
      </c>
      <c r="N348" s="1" t="s">
        <v>26</v>
      </c>
      <c r="O348" s="1">
        <v>6000</v>
      </c>
      <c r="P348" s="3" t="str">
        <f>IF(Table1[[#This Row],[Designation]]="Line Operator","Line Operator", "Other")</f>
        <v>Line Operator</v>
      </c>
    </row>
    <row r="349" spans="1:16" ht="15.75" customHeight="1" x14ac:dyDescent="0.25">
      <c r="A349" s="1" t="s">
        <v>733</v>
      </c>
      <c r="B349" s="1" t="s">
        <v>734</v>
      </c>
      <c r="C349" s="1" t="s">
        <v>44</v>
      </c>
      <c r="D349" s="1" t="s">
        <v>18</v>
      </c>
      <c r="E349" s="1" t="s">
        <v>75</v>
      </c>
      <c r="F349" s="1" t="s">
        <v>31</v>
      </c>
      <c r="G349" s="8">
        <v>45484</v>
      </c>
      <c r="H349" s="1">
        <v>45304</v>
      </c>
      <c r="I349" s="1" t="s">
        <v>21</v>
      </c>
      <c r="J349" s="1" t="s">
        <v>22</v>
      </c>
      <c r="K349" s="1" t="s">
        <v>38</v>
      </c>
      <c r="L349" s="1" t="s">
        <v>119</v>
      </c>
      <c r="M349" s="1" t="s">
        <v>25</v>
      </c>
      <c r="N349" s="1" t="s">
        <v>26</v>
      </c>
      <c r="O349" s="1">
        <v>6000</v>
      </c>
      <c r="P349" s="3" t="str">
        <f>IF(Table1[[#This Row],[Designation]]="Line Operator","Line Operator", "Other")</f>
        <v>Line Operator</v>
      </c>
    </row>
    <row r="350" spans="1:16" ht="15.75" customHeight="1" x14ac:dyDescent="0.25">
      <c r="A350" s="1" t="s">
        <v>735</v>
      </c>
      <c r="B350" s="1" t="s">
        <v>736</v>
      </c>
      <c r="C350" s="1" t="s">
        <v>36</v>
      </c>
      <c r="D350" s="1" t="s">
        <v>18</v>
      </c>
      <c r="E350" s="1" t="s">
        <v>75</v>
      </c>
      <c r="F350" s="1" t="s">
        <v>31</v>
      </c>
      <c r="G350" s="8">
        <v>45484</v>
      </c>
      <c r="H350" s="1">
        <v>45304</v>
      </c>
      <c r="I350" s="1" t="s">
        <v>21</v>
      </c>
      <c r="J350" s="1" t="s">
        <v>22</v>
      </c>
      <c r="K350" s="1" t="s">
        <v>38</v>
      </c>
      <c r="L350" s="1" t="s">
        <v>282</v>
      </c>
      <c r="M350" s="1" t="s">
        <v>283</v>
      </c>
      <c r="N350" s="1" t="s">
        <v>26</v>
      </c>
      <c r="O350" s="1">
        <v>6000</v>
      </c>
      <c r="P350" s="3" t="str">
        <f>IF(Table1[[#This Row],[Designation]]="Line Operator","Line Operator", "Other")</f>
        <v>Line Operator</v>
      </c>
    </row>
    <row r="351" spans="1:16" ht="15.75" customHeight="1" x14ac:dyDescent="0.25">
      <c r="A351" s="1" t="s">
        <v>737</v>
      </c>
      <c r="B351" s="1" t="s">
        <v>738</v>
      </c>
      <c r="C351" s="1" t="s">
        <v>36</v>
      </c>
      <c r="D351" s="1" t="s">
        <v>18</v>
      </c>
      <c r="E351" s="1" t="s">
        <v>75</v>
      </c>
      <c r="F351" s="1" t="s">
        <v>31</v>
      </c>
      <c r="G351" s="8">
        <v>45485</v>
      </c>
      <c r="H351" s="1">
        <v>45305</v>
      </c>
      <c r="I351" s="1" t="s">
        <v>21</v>
      </c>
      <c r="J351" s="1" t="s">
        <v>22</v>
      </c>
      <c r="K351" s="1" t="s">
        <v>23</v>
      </c>
      <c r="L351" s="1" t="s">
        <v>172</v>
      </c>
      <c r="M351" s="1" t="s">
        <v>51</v>
      </c>
      <c r="N351" s="1" t="s">
        <v>26</v>
      </c>
      <c r="O351" s="1">
        <v>6000</v>
      </c>
      <c r="P351" s="3" t="str">
        <f>IF(Table1[[#This Row],[Designation]]="Line Operator","Line Operator", "Other")</f>
        <v>Line Operator</v>
      </c>
    </row>
    <row r="352" spans="1:16" ht="15.75" customHeight="1" x14ac:dyDescent="0.25">
      <c r="A352" s="1" t="s">
        <v>739</v>
      </c>
      <c r="B352" s="1" t="s">
        <v>740</v>
      </c>
      <c r="C352" s="1" t="s">
        <v>36</v>
      </c>
      <c r="D352" s="1" t="s">
        <v>18</v>
      </c>
      <c r="E352" s="1" t="s">
        <v>75</v>
      </c>
      <c r="F352" s="1" t="s">
        <v>31</v>
      </c>
      <c r="G352" s="8">
        <v>45487</v>
      </c>
      <c r="H352" s="1">
        <v>45307</v>
      </c>
      <c r="I352" s="1" t="s">
        <v>81</v>
      </c>
      <c r="J352" s="1" t="s">
        <v>37</v>
      </c>
      <c r="K352" s="1" t="s">
        <v>23</v>
      </c>
      <c r="L352" s="1" t="s">
        <v>24</v>
      </c>
      <c r="M352" s="1" t="s">
        <v>25</v>
      </c>
      <c r="N352" s="1" t="s">
        <v>26</v>
      </c>
      <c r="O352" s="1">
        <v>6000</v>
      </c>
      <c r="P352" s="3" t="str">
        <f>IF(Table1[[#This Row],[Designation]]="Line Operator","Line Operator", "Other")</f>
        <v>Line Operator</v>
      </c>
    </row>
    <row r="353" spans="1:16" ht="15.75" customHeight="1" x14ac:dyDescent="0.25">
      <c r="A353" s="1" t="s">
        <v>741</v>
      </c>
      <c r="B353" s="1" t="s">
        <v>742</v>
      </c>
      <c r="C353" s="1" t="s">
        <v>36</v>
      </c>
      <c r="D353" s="1" t="s">
        <v>18</v>
      </c>
      <c r="E353" s="1" t="s">
        <v>75</v>
      </c>
      <c r="F353" s="1" t="s">
        <v>31</v>
      </c>
      <c r="G353" s="8">
        <v>45488</v>
      </c>
      <c r="H353" s="1">
        <v>45308</v>
      </c>
      <c r="I353" s="1" t="s">
        <v>81</v>
      </c>
      <c r="J353" s="1" t="s">
        <v>22</v>
      </c>
      <c r="K353" s="1" t="s">
        <v>58</v>
      </c>
      <c r="L353" s="1" t="s">
        <v>220</v>
      </c>
      <c r="M353" s="1" t="s">
        <v>25</v>
      </c>
      <c r="N353" s="1" t="s">
        <v>26</v>
      </c>
      <c r="O353" s="1">
        <v>6000</v>
      </c>
      <c r="P353" s="3" t="str">
        <f>IF(Table1[[#This Row],[Designation]]="Line Operator","Line Operator", "Other")</f>
        <v>Line Operator</v>
      </c>
    </row>
    <row r="354" spans="1:16" ht="15.75" customHeight="1" x14ac:dyDescent="0.25">
      <c r="A354" s="1" t="s">
        <v>743</v>
      </c>
      <c r="B354" s="1" t="s">
        <v>744</v>
      </c>
      <c r="C354" s="1" t="s">
        <v>205</v>
      </c>
      <c r="D354" s="1" t="s">
        <v>18</v>
      </c>
      <c r="E354" s="1" t="s">
        <v>75</v>
      </c>
      <c r="F354" s="1" t="s">
        <v>31</v>
      </c>
      <c r="G354" s="8">
        <v>45488</v>
      </c>
      <c r="H354" s="1">
        <v>45308</v>
      </c>
      <c r="I354" s="1" t="s">
        <v>21</v>
      </c>
      <c r="J354" s="1" t="s">
        <v>22</v>
      </c>
      <c r="K354" s="1" t="s">
        <v>23</v>
      </c>
      <c r="L354" s="1" t="s">
        <v>24</v>
      </c>
      <c r="M354" s="1" t="s">
        <v>25</v>
      </c>
      <c r="N354" s="1" t="s">
        <v>26</v>
      </c>
      <c r="O354" s="1">
        <v>6000</v>
      </c>
      <c r="P354" s="3" t="str">
        <f>IF(Table1[[#This Row],[Designation]]="Line Operator","Line Operator", "Other")</f>
        <v>Line Operator</v>
      </c>
    </row>
    <row r="355" spans="1:16" ht="15.75" customHeight="1" x14ac:dyDescent="0.25">
      <c r="A355" s="1" t="s">
        <v>745</v>
      </c>
      <c r="B355" s="1" t="s">
        <v>746</v>
      </c>
      <c r="C355" s="1" t="s">
        <v>44</v>
      </c>
      <c r="D355" s="1" t="s">
        <v>18</v>
      </c>
      <c r="E355" s="1" t="s">
        <v>75</v>
      </c>
      <c r="F355" s="1" t="s">
        <v>31</v>
      </c>
      <c r="G355" s="8">
        <v>45488</v>
      </c>
      <c r="H355" s="1">
        <v>45308</v>
      </c>
      <c r="I355" s="1" t="s">
        <v>21</v>
      </c>
      <c r="J355" s="1" t="s">
        <v>22</v>
      </c>
      <c r="K355" s="1" t="s">
        <v>115</v>
      </c>
      <c r="L355" s="1" t="s">
        <v>220</v>
      </c>
      <c r="M355" s="1" t="s">
        <v>25</v>
      </c>
      <c r="N355" s="1" t="s">
        <v>26</v>
      </c>
      <c r="O355" s="1">
        <v>6000</v>
      </c>
      <c r="P355" s="3" t="str">
        <f>IF(Table1[[#This Row],[Designation]]="Line Operator","Line Operator", "Other")</f>
        <v>Line Operator</v>
      </c>
    </row>
    <row r="356" spans="1:16" ht="15.75" customHeight="1" x14ac:dyDescent="0.25">
      <c r="A356" s="1" t="s">
        <v>747</v>
      </c>
      <c r="B356" s="1" t="s">
        <v>748</v>
      </c>
      <c r="C356" s="1" t="s">
        <v>17</v>
      </c>
      <c r="D356" s="1" t="s">
        <v>18</v>
      </c>
      <c r="E356" s="1" t="s">
        <v>75</v>
      </c>
      <c r="F356" s="1" t="s">
        <v>31</v>
      </c>
      <c r="G356" s="8">
        <v>45488</v>
      </c>
      <c r="H356" s="1">
        <v>45308</v>
      </c>
      <c r="I356" s="1" t="s">
        <v>21</v>
      </c>
      <c r="J356" s="1" t="s">
        <v>22</v>
      </c>
      <c r="K356" s="1" t="s">
        <v>38</v>
      </c>
      <c r="L356" s="1" t="s">
        <v>220</v>
      </c>
      <c r="M356" s="1" t="s">
        <v>25</v>
      </c>
      <c r="N356" s="1" t="s">
        <v>26</v>
      </c>
      <c r="O356" s="1">
        <v>6000</v>
      </c>
      <c r="P356" s="3" t="str">
        <f>IF(Table1[[#This Row],[Designation]]="Line Operator","Line Operator", "Other")</f>
        <v>Line Operator</v>
      </c>
    </row>
    <row r="357" spans="1:16" ht="15.75" customHeight="1" x14ac:dyDescent="0.25">
      <c r="A357" s="1" t="s">
        <v>749</v>
      </c>
      <c r="B357" s="1" t="s">
        <v>750</v>
      </c>
      <c r="C357" s="1" t="s">
        <v>17</v>
      </c>
      <c r="D357" s="1" t="s">
        <v>18</v>
      </c>
      <c r="E357" s="1" t="s">
        <v>75</v>
      </c>
      <c r="F357" s="1" t="s">
        <v>31</v>
      </c>
      <c r="G357" s="8">
        <v>45488</v>
      </c>
      <c r="H357" s="1">
        <v>45308</v>
      </c>
      <c r="I357" s="1" t="s">
        <v>21</v>
      </c>
      <c r="J357" s="1" t="s">
        <v>22</v>
      </c>
      <c r="K357" s="1" t="s">
        <v>32</v>
      </c>
      <c r="L357" s="1" t="s">
        <v>96</v>
      </c>
      <c r="M357" s="1" t="s">
        <v>47</v>
      </c>
      <c r="N357" s="1" t="s">
        <v>26</v>
      </c>
      <c r="O357" s="1">
        <v>6000</v>
      </c>
      <c r="P357" s="3" t="str">
        <f>IF(Table1[[#This Row],[Designation]]="Line Operator","Line Operator", "Other")</f>
        <v>Line Operator</v>
      </c>
    </row>
    <row r="358" spans="1:16" ht="15.75" customHeight="1" x14ac:dyDescent="0.25">
      <c r="A358" s="1" t="s">
        <v>751</v>
      </c>
      <c r="B358" s="1" t="s">
        <v>752</v>
      </c>
      <c r="C358" s="1" t="s">
        <v>205</v>
      </c>
      <c r="D358" s="1" t="s">
        <v>18</v>
      </c>
      <c r="E358" s="1" t="s">
        <v>75</v>
      </c>
      <c r="F358" s="1" t="s">
        <v>31</v>
      </c>
      <c r="G358" s="8">
        <v>45491</v>
      </c>
      <c r="H358" s="1">
        <v>45311</v>
      </c>
      <c r="I358" s="1" t="s">
        <v>21</v>
      </c>
      <c r="J358" s="1" t="s">
        <v>37</v>
      </c>
      <c r="K358" s="1" t="s">
        <v>72</v>
      </c>
      <c r="L358" s="1" t="s">
        <v>24</v>
      </c>
      <c r="M358" s="1" t="s">
        <v>25</v>
      </c>
      <c r="N358" s="1" t="s">
        <v>26</v>
      </c>
      <c r="O358" s="1">
        <v>6000</v>
      </c>
      <c r="P358" s="3" t="str">
        <f>IF(Table1[[#This Row],[Designation]]="Line Operator","Line Operator", "Other")</f>
        <v>Line Operator</v>
      </c>
    </row>
    <row r="359" spans="1:16" ht="15.75" customHeight="1" x14ac:dyDescent="0.25">
      <c r="A359" s="1" t="s">
        <v>753</v>
      </c>
      <c r="B359" s="1" t="s">
        <v>754</v>
      </c>
      <c r="C359" s="1" t="s">
        <v>44</v>
      </c>
      <c r="D359" s="1" t="s">
        <v>18</v>
      </c>
      <c r="E359" s="1" t="s">
        <v>75</v>
      </c>
      <c r="F359" s="1" t="s">
        <v>31</v>
      </c>
      <c r="G359" s="8">
        <v>45492</v>
      </c>
      <c r="H359" s="1">
        <v>45312</v>
      </c>
      <c r="I359" s="1" t="s">
        <v>21</v>
      </c>
      <c r="J359" s="1" t="s">
        <v>22</v>
      </c>
      <c r="K359" s="1" t="s">
        <v>38</v>
      </c>
      <c r="L359" s="1" t="s">
        <v>24</v>
      </c>
      <c r="M359" s="1" t="s">
        <v>25</v>
      </c>
      <c r="N359" s="1" t="s">
        <v>26</v>
      </c>
      <c r="O359" s="1">
        <v>6000</v>
      </c>
      <c r="P359" s="3" t="str">
        <f>IF(Table1[[#This Row],[Designation]]="Line Operator","Line Operator", "Other")</f>
        <v>Line Operator</v>
      </c>
    </row>
    <row r="360" spans="1:16" ht="15.75" customHeight="1" x14ac:dyDescent="0.25">
      <c r="A360" s="1" t="s">
        <v>755</v>
      </c>
      <c r="B360" s="1" t="s">
        <v>154</v>
      </c>
      <c r="C360" s="1" t="s">
        <v>36</v>
      </c>
      <c r="D360" s="1" t="s">
        <v>18</v>
      </c>
      <c r="E360" s="1" t="s">
        <v>75</v>
      </c>
      <c r="F360" s="1" t="s">
        <v>31</v>
      </c>
      <c r="G360" s="8">
        <v>45492</v>
      </c>
      <c r="H360" s="1">
        <v>45312</v>
      </c>
      <c r="I360" s="1" t="s">
        <v>21</v>
      </c>
      <c r="J360" s="1" t="s">
        <v>22</v>
      </c>
      <c r="K360" s="1" t="s">
        <v>38</v>
      </c>
      <c r="L360" s="1" t="s">
        <v>24</v>
      </c>
      <c r="M360" s="1" t="s">
        <v>25</v>
      </c>
      <c r="N360" s="1" t="s">
        <v>26</v>
      </c>
      <c r="O360" s="1">
        <v>6000</v>
      </c>
      <c r="P360" s="3" t="str">
        <f>IF(Table1[[#This Row],[Designation]]="Line Operator","Line Operator", "Other")</f>
        <v>Line Operator</v>
      </c>
    </row>
    <row r="361" spans="1:16" ht="15.75" customHeight="1" x14ac:dyDescent="0.25">
      <c r="A361" s="1" t="s">
        <v>756</v>
      </c>
      <c r="B361" s="1" t="s">
        <v>757</v>
      </c>
      <c r="C361" s="1" t="s">
        <v>44</v>
      </c>
      <c r="D361" s="1" t="s">
        <v>18</v>
      </c>
      <c r="E361" s="1" t="s">
        <v>75</v>
      </c>
      <c r="F361" s="1" t="s">
        <v>31</v>
      </c>
      <c r="G361" s="8">
        <v>45492</v>
      </c>
      <c r="H361" s="1">
        <v>45312</v>
      </c>
      <c r="I361" s="1" t="s">
        <v>81</v>
      </c>
      <c r="J361" s="1" t="s">
        <v>22</v>
      </c>
      <c r="K361" s="1" t="s">
        <v>38</v>
      </c>
      <c r="L361" s="1" t="s">
        <v>220</v>
      </c>
      <c r="M361" s="1" t="s">
        <v>25</v>
      </c>
      <c r="N361" s="1" t="s">
        <v>26</v>
      </c>
      <c r="O361" s="1">
        <v>6000</v>
      </c>
      <c r="P361" s="3" t="str">
        <f>IF(Table1[[#This Row],[Designation]]="Line Operator","Line Operator", "Other")</f>
        <v>Line Operator</v>
      </c>
    </row>
    <row r="362" spans="1:16" ht="15.75" customHeight="1" x14ac:dyDescent="0.25">
      <c r="A362" s="1" t="s">
        <v>758</v>
      </c>
      <c r="B362" s="1" t="s">
        <v>759</v>
      </c>
      <c r="C362" s="1" t="s">
        <v>17</v>
      </c>
      <c r="D362" s="1" t="s">
        <v>18</v>
      </c>
      <c r="E362" s="1" t="s">
        <v>75</v>
      </c>
      <c r="F362" s="1" t="s">
        <v>31</v>
      </c>
      <c r="G362" s="8">
        <v>45494</v>
      </c>
      <c r="H362" s="1">
        <v>45314</v>
      </c>
      <c r="I362" s="1" t="s">
        <v>81</v>
      </c>
      <c r="J362" s="1" t="s">
        <v>22</v>
      </c>
      <c r="K362" s="1" t="s">
        <v>115</v>
      </c>
      <c r="L362" s="1" t="s">
        <v>220</v>
      </c>
      <c r="M362" s="1" t="s">
        <v>25</v>
      </c>
      <c r="N362" s="1" t="s">
        <v>26</v>
      </c>
      <c r="O362" s="1">
        <v>6000</v>
      </c>
      <c r="P362" s="3" t="str">
        <f>IF(Table1[[#This Row],[Designation]]="Line Operator","Line Operator", "Other")</f>
        <v>Line Operator</v>
      </c>
    </row>
    <row r="363" spans="1:16" ht="15.75" customHeight="1" x14ac:dyDescent="0.25">
      <c r="A363" s="1" t="s">
        <v>760</v>
      </c>
      <c r="B363" s="1" t="s">
        <v>761</v>
      </c>
      <c r="C363" s="1" t="s">
        <v>44</v>
      </c>
      <c r="D363" s="1" t="s">
        <v>18</v>
      </c>
      <c r="E363" s="1" t="s">
        <v>75</v>
      </c>
      <c r="F363" s="1" t="s">
        <v>31</v>
      </c>
      <c r="G363" s="8">
        <v>45494</v>
      </c>
      <c r="H363" s="1">
        <v>45314</v>
      </c>
      <c r="I363" s="1" t="s">
        <v>21</v>
      </c>
      <c r="J363" s="1" t="s">
        <v>22</v>
      </c>
      <c r="K363" s="1" t="s">
        <v>32</v>
      </c>
      <c r="L363" s="1" t="s">
        <v>24</v>
      </c>
      <c r="M363" s="1" t="s">
        <v>25</v>
      </c>
      <c r="N363" s="1" t="s">
        <v>26</v>
      </c>
      <c r="O363" s="1">
        <v>6000</v>
      </c>
      <c r="P363" s="3" t="str">
        <f>IF(Table1[[#This Row],[Designation]]="Line Operator","Line Operator", "Other")</f>
        <v>Line Operator</v>
      </c>
    </row>
    <row r="364" spans="1:16" ht="15.75" customHeight="1" x14ac:dyDescent="0.25">
      <c r="A364" s="1" t="s">
        <v>762</v>
      </c>
      <c r="B364" s="1" t="s">
        <v>763</v>
      </c>
      <c r="C364" s="1" t="s">
        <v>205</v>
      </c>
      <c r="D364" s="1" t="s">
        <v>18</v>
      </c>
      <c r="E364" s="1" t="s">
        <v>75</v>
      </c>
      <c r="F364" s="1" t="s">
        <v>31</v>
      </c>
      <c r="G364" s="8">
        <v>45496</v>
      </c>
      <c r="H364" s="1">
        <v>45316</v>
      </c>
      <c r="I364" s="1" t="s">
        <v>21</v>
      </c>
      <c r="J364" s="1" t="s">
        <v>22</v>
      </c>
      <c r="K364" s="1" t="s">
        <v>23</v>
      </c>
      <c r="L364" s="1" t="s">
        <v>24</v>
      </c>
      <c r="M364" s="1" t="s">
        <v>25</v>
      </c>
      <c r="N364" s="1" t="s">
        <v>26</v>
      </c>
      <c r="O364" s="1">
        <v>6000</v>
      </c>
      <c r="P364" s="3" t="str">
        <f>IF(Table1[[#This Row],[Designation]]="Line Operator","Line Operator", "Other")</f>
        <v>Line Operator</v>
      </c>
    </row>
    <row r="365" spans="1:16" ht="15.75" customHeight="1" x14ac:dyDescent="0.25">
      <c r="A365" s="1" t="s">
        <v>764</v>
      </c>
      <c r="B365" s="1" t="s">
        <v>765</v>
      </c>
      <c r="C365" s="1" t="s">
        <v>36</v>
      </c>
      <c r="D365" s="1" t="s">
        <v>18</v>
      </c>
      <c r="E365" s="1" t="s">
        <v>75</v>
      </c>
      <c r="F365" s="1" t="s">
        <v>31</v>
      </c>
      <c r="G365" s="8">
        <v>45496</v>
      </c>
      <c r="H365" s="1">
        <v>45316</v>
      </c>
      <c r="I365" s="1" t="s">
        <v>81</v>
      </c>
      <c r="J365" s="1" t="s">
        <v>22</v>
      </c>
      <c r="K365" s="1" t="s">
        <v>23</v>
      </c>
      <c r="L365" s="1" t="s">
        <v>24</v>
      </c>
      <c r="M365" s="1" t="s">
        <v>25</v>
      </c>
      <c r="N365" s="1" t="s">
        <v>26</v>
      </c>
      <c r="O365" s="1">
        <v>6000</v>
      </c>
      <c r="P365" s="3" t="str">
        <f>IF(Table1[[#This Row],[Designation]]="Line Operator","Line Operator", "Other")</f>
        <v>Line Operator</v>
      </c>
    </row>
    <row r="366" spans="1:16" ht="15.75" customHeight="1" x14ac:dyDescent="0.25">
      <c r="A366" s="1" t="s">
        <v>766</v>
      </c>
      <c r="B366" s="1" t="s">
        <v>767</v>
      </c>
      <c r="C366" s="1" t="s">
        <v>17</v>
      </c>
      <c r="D366" s="1" t="s">
        <v>18</v>
      </c>
      <c r="E366" s="1" t="s">
        <v>75</v>
      </c>
      <c r="F366" s="1" t="s">
        <v>31</v>
      </c>
      <c r="G366" s="8">
        <v>45499</v>
      </c>
      <c r="H366" s="1">
        <v>45319</v>
      </c>
      <c r="I366" s="1" t="s">
        <v>81</v>
      </c>
      <c r="J366" s="1" t="s">
        <v>37</v>
      </c>
      <c r="K366" s="1" t="s">
        <v>58</v>
      </c>
      <c r="L366" s="1" t="s">
        <v>24</v>
      </c>
      <c r="M366" s="1" t="s">
        <v>25</v>
      </c>
      <c r="N366" s="1" t="s">
        <v>26</v>
      </c>
      <c r="O366" s="1">
        <v>6000</v>
      </c>
      <c r="P366" s="3" t="str">
        <f>IF(Table1[[#This Row],[Designation]]="Line Operator","Line Operator", "Other")</f>
        <v>Line Operator</v>
      </c>
    </row>
    <row r="367" spans="1:16" ht="15.75" customHeight="1" x14ac:dyDescent="0.25">
      <c r="A367" s="1" t="s">
        <v>768</v>
      </c>
      <c r="B367" s="1" t="s">
        <v>769</v>
      </c>
      <c r="C367" s="1" t="s">
        <v>44</v>
      </c>
      <c r="D367" s="1" t="s">
        <v>18</v>
      </c>
      <c r="E367" s="1" t="s">
        <v>75</v>
      </c>
      <c r="F367" s="1" t="s">
        <v>31</v>
      </c>
      <c r="G367" s="8">
        <v>45503</v>
      </c>
      <c r="H367" s="1">
        <v>45323</v>
      </c>
      <c r="I367" s="1" t="s">
        <v>21</v>
      </c>
      <c r="J367" s="1" t="s">
        <v>22</v>
      </c>
      <c r="K367" s="1" t="s">
        <v>32</v>
      </c>
      <c r="L367" s="1" t="s">
        <v>24</v>
      </c>
      <c r="M367" s="1" t="s">
        <v>25</v>
      </c>
      <c r="N367" s="1" t="s">
        <v>26</v>
      </c>
      <c r="O367" s="1">
        <v>6000</v>
      </c>
      <c r="P367" s="3" t="str">
        <f>IF(Table1[[#This Row],[Designation]]="Line Operator","Line Operator", "Other")</f>
        <v>Line Operator</v>
      </c>
    </row>
    <row r="368" spans="1:16" ht="15.75" customHeight="1" x14ac:dyDescent="0.25">
      <c r="A368" s="1" t="s">
        <v>770</v>
      </c>
      <c r="B368" s="1" t="s">
        <v>771</v>
      </c>
      <c r="C368" s="1" t="s">
        <v>44</v>
      </c>
      <c r="D368" s="1" t="s">
        <v>18</v>
      </c>
      <c r="E368" s="1" t="s">
        <v>75</v>
      </c>
      <c r="F368" s="1" t="s">
        <v>31</v>
      </c>
      <c r="G368" s="8">
        <v>45505</v>
      </c>
      <c r="H368" s="1">
        <v>45325</v>
      </c>
      <c r="I368" s="1" t="s">
        <v>21</v>
      </c>
      <c r="J368" s="1" t="s">
        <v>22</v>
      </c>
      <c r="K368" s="1" t="s">
        <v>38</v>
      </c>
      <c r="L368" s="1" t="s">
        <v>24</v>
      </c>
      <c r="M368" s="1" t="s">
        <v>25</v>
      </c>
      <c r="N368" s="1" t="s">
        <v>26</v>
      </c>
      <c r="O368" s="1">
        <v>6000</v>
      </c>
      <c r="P368" s="3" t="str">
        <f>IF(Table1[[#This Row],[Designation]]="Line Operator","Line Operator", "Other")</f>
        <v>Line Operator</v>
      </c>
    </row>
    <row r="369" spans="1:16" ht="15.75" customHeight="1" x14ac:dyDescent="0.25">
      <c r="A369" s="1" t="s">
        <v>772</v>
      </c>
      <c r="B369" s="1" t="s">
        <v>773</v>
      </c>
      <c r="C369" s="1" t="s">
        <v>17</v>
      </c>
      <c r="D369" s="1" t="s">
        <v>18</v>
      </c>
      <c r="E369" s="1" t="s">
        <v>75</v>
      </c>
      <c r="F369" s="1" t="s">
        <v>31</v>
      </c>
      <c r="G369" s="8">
        <v>45506</v>
      </c>
      <c r="H369" s="1">
        <v>45326</v>
      </c>
      <c r="I369" s="1" t="s">
        <v>81</v>
      </c>
      <c r="J369" s="1" t="s">
        <v>22</v>
      </c>
      <c r="K369" s="1" t="s">
        <v>32</v>
      </c>
      <c r="L369" s="1" t="s">
        <v>220</v>
      </c>
      <c r="M369" s="1" t="s">
        <v>25</v>
      </c>
      <c r="N369" s="1" t="s">
        <v>26</v>
      </c>
      <c r="O369" s="1">
        <v>6000</v>
      </c>
      <c r="P369" s="3" t="str">
        <f>IF(Table1[[#This Row],[Designation]]="Line Operator","Line Operator", "Other")</f>
        <v>Line Operator</v>
      </c>
    </row>
    <row r="370" spans="1:16" ht="15.75" customHeight="1" x14ac:dyDescent="0.25">
      <c r="A370" s="1" t="s">
        <v>774</v>
      </c>
      <c r="B370" s="1" t="s">
        <v>775</v>
      </c>
      <c r="C370" s="1" t="s">
        <v>17</v>
      </c>
      <c r="D370" s="1" t="s">
        <v>18</v>
      </c>
      <c r="E370" s="1" t="s">
        <v>75</v>
      </c>
      <c r="F370" s="1" t="s">
        <v>31</v>
      </c>
      <c r="G370" s="8">
        <v>45506</v>
      </c>
      <c r="H370" s="1">
        <v>45326</v>
      </c>
      <c r="I370" s="1" t="s">
        <v>81</v>
      </c>
      <c r="J370" s="1" t="s">
        <v>37</v>
      </c>
      <c r="K370" s="1" t="s">
        <v>23</v>
      </c>
      <c r="L370" s="1" t="s">
        <v>124</v>
      </c>
      <c r="M370" s="1" t="s">
        <v>47</v>
      </c>
      <c r="N370" s="1" t="s">
        <v>26</v>
      </c>
      <c r="O370" s="1">
        <v>6000</v>
      </c>
      <c r="P370" s="3" t="str">
        <f>IF(Table1[[#This Row],[Designation]]="Line Operator","Line Operator", "Other")</f>
        <v>Line Operator</v>
      </c>
    </row>
    <row r="371" spans="1:16" ht="15.75" customHeight="1" x14ac:dyDescent="0.25">
      <c r="A371" s="1" t="s">
        <v>776</v>
      </c>
      <c r="B371" s="1" t="s">
        <v>777</v>
      </c>
      <c r="C371" s="1" t="s">
        <v>17</v>
      </c>
      <c r="D371" s="1" t="s">
        <v>18</v>
      </c>
      <c r="E371" s="1" t="s">
        <v>75</v>
      </c>
      <c r="F371" s="1" t="s">
        <v>31</v>
      </c>
      <c r="G371" s="8">
        <v>45506</v>
      </c>
      <c r="H371" s="1">
        <v>45326</v>
      </c>
      <c r="I371" s="1" t="s">
        <v>81</v>
      </c>
      <c r="J371" s="1" t="s">
        <v>22</v>
      </c>
      <c r="K371" s="1" t="s">
        <v>23</v>
      </c>
      <c r="L371" s="1" t="s">
        <v>220</v>
      </c>
      <c r="M371" s="1" t="s">
        <v>25</v>
      </c>
      <c r="N371" s="1" t="s">
        <v>26</v>
      </c>
      <c r="O371" s="1">
        <v>6000</v>
      </c>
      <c r="P371" s="3" t="str">
        <f>IF(Table1[[#This Row],[Designation]]="Line Operator","Line Operator", "Other")</f>
        <v>Line Operator</v>
      </c>
    </row>
    <row r="372" spans="1:16" ht="15.75" customHeight="1" x14ac:dyDescent="0.25">
      <c r="A372" s="1" t="s">
        <v>778</v>
      </c>
      <c r="B372" s="1" t="s">
        <v>779</v>
      </c>
      <c r="C372" s="1" t="s">
        <v>17</v>
      </c>
      <c r="D372" s="1" t="s">
        <v>18</v>
      </c>
      <c r="E372" s="1" t="s">
        <v>75</v>
      </c>
      <c r="F372" s="1" t="s">
        <v>31</v>
      </c>
      <c r="G372" s="8">
        <v>45506</v>
      </c>
      <c r="H372" s="1">
        <v>45326</v>
      </c>
      <c r="I372" s="1" t="s">
        <v>21</v>
      </c>
      <c r="J372" s="1" t="s">
        <v>22</v>
      </c>
      <c r="K372" s="1" t="s">
        <v>23</v>
      </c>
      <c r="L372" s="1" t="s">
        <v>220</v>
      </c>
      <c r="M372" s="1" t="s">
        <v>25</v>
      </c>
      <c r="N372" s="1" t="s">
        <v>26</v>
      </c>
      <c r="O372" s="1">
        <v>6000</v>
      </c>
      <c r="P372" s="3" t="str">
        <f>IF(Table1[[#This Row],[Designation]]="Line Operator","Line Operator", "Other")</f>
        <v>Line Operator</v>
      </c>
    </row>
    <row r="373" spans="1:16" ht="15.75" customHeight="1" x14ac:dyDescent="0.25">
      <c r="A373" s="1" t="s">
        <v>780</v>
      </c>
      <c r="B373" s="1" t="s">
        <v>781</v>
      </c>
      <c r="C373" s="1" t="s">
        <v>17</v>
      </c>
      <c r="D373" s="1" t="s">
        <v>18</v>
      </c>
      <c r="E373" s="1" t="s">
        <v>75</v>
      </c>
      <c r="F373" s="1" t="s">
        <v>31</v>
      </c>
      <c r="G373" s="8">
        <v>45506</v>
      </c>
      <c r="H373" s="1">
        <v>45326</v>
      </c>
      <c r="I373" s="1" t="s">
        <v>21</v>
      </c>
      <c r="J373" s="1" t="s">
        <v>22</v>
      </c>
      <c r="K373" s="1" t="s">
        <v>38</v>
      </c>
      <c r="L373" s="1" t="s">
        <v>96</v>
      </c>
      <c r="M373" s="1" t="s">
        <v>47</v>
      </c>
      <c r="N373" s="1" t="s">
        <v>26</v>
      </c>
      <c r="O373" s="1">
        <v>6000</v>
      </c>
      <c r="P373" s="3" t="str">
        <f>IF(Table1[[#This Row],[Designation]]="Line Operator","Line Operator", "Other")</f>
        <v>Line Operator</v>
      </c>
    </row>
    <row r="374" spans="1:16" ht="15.75" customHeight="1" x14ac:dyDescent="0.25">
      <c r="A374" s="1" t="s">
        <v>782</v>
      </c>
      <c r="B374" s="1" t="s">
        <v>783</v>
      </c>
      <c r="C374" s="1" t="s">
        <v>17</v>
      </c>
      <c r="D374" s="1" t="s">
        <v>18</v>
      </c>
      <c r="E374" s="1" t="s">
        <v>75</v>
      </c>
      <c r="F374" s="1" t="s">
        <v>31</v>
      </c>
      <c r="G374" s="8">
        <v>45506</v>
      </c>
      <c r="H374" s="1">
        <v>45326</v>
      </c>
      <c r="I374" s="1" t="s">
        <v>21</v>
      </c>
      <c r="J374" s="1" t="s">
        <v>22</v>
      </c>
      <c r="K374" s="1" t="s">
        <v>32</v>
      </c>
      <c r="L374" s="1" t="s">
        <v>96</v>
      </c>
      <c r="M374" s="1" t="s">
        <v>47</v>
      </c>
      <c r="N374" s="1" t="s">
        <v>26</v>
      </c>
      <c r="O374" s="1">
        <v>6000</v>
      </c>
      <c r="P374" s="3" t="str">
        <f>IF(Table1[[#This Row],[Designation]]="Line Operator","Line Operator", "Other")</f>
        <v>Line Operator</v>
      </c>
    </row>
    <row r="375" spans="1:16" ht="15.75" customHeight="1" x14ac:dyDescent="0.25">
      <c r="A375" s="1" t="s">
        <v>784</v>
      </c>
      <c r="B375" s="1" t="s">
        <v>785</v>
      </c>
      <c r="C375" s="1" t="s">
        <v>17</v>
      </c>
      <c r="D375" s="1" t="s">
        <v>18</v>
      </c>
      <c r="E375" s="1" t="s">
        <v>75</v>
      </c>
      <c r="F375" s="1" t="s">
        <v>31</v>
      </c>
      <c r="G375" s="8">
        <v>45506</v>
      </c>
      <c r="H375" s="1">
        <v>45326</v>
      </c>
      <c r="I375" s="1" t="s">
        <v>21</v>
      </c>
      <c r="J375" s="1" t="s">
        <v>22</v>
      </c>
      <c r="K375" s="1" t="s">
        <v>23</v>
      </c>
      <c r="L375" s="1" t="s">
        <v>46</v>
      </c>
      <c r="M375" s="1" t="s">
        <v>47</v>
      </c>
      <c r="N375" s="1" t="s">
        <v>26</v>
      </c>
      <c r="O375" s="1">
        <v>6000</v>
      </c>
      <c r="P375" s="3" t="str">
        <f>IF(Table1[[#This Row],[Designation]]="Line Operator","Line Operator", "Other")</f>
        <v>Line Operator</v>
      </c>
    </row>
    <row r="376" spans="1:16" ht="15.75" customHeight="1" x14ac:dyDescent="0.25">
      <c r="A376" s="1" t="s">
        <v>786</v>
      </c>
      <c r="B376" s="1" t="s">
        <v>787</v>
      </c>
      <c r="C376" s="1" t="s">
        <v>17</v>
      </c>
      <c r="D376" s="1" t="s">
        <v>18</v>
      </c>
      <c r="E376" s="1" t="s">
        <v>75</v>
      </c>
      <c r="F376" s="1" t="s">
        <v>31</v>
      </c>
      <c r="G376" s="8">
        <v>45506</v>
      </c>
      <c r="H376" s="1">
        <v>45326</v>
      </c>
      <c r="I376" s="1" t="s">
        <v>81</v>
      </c>
      <c r="J376" s="1" t="s">
        <v>22</v>
      </c>
      <c r="K376" s="1" t="s">
        <v>32</v>
      </c>
      <c r="L376" s="1" t="s">
        <v>220</v>
      </c>
      <c r="M376" s="1" t="s">
        <v>25</v>
      </c>
      <c r="N376" s="1" t="s">
        <v>26</v>
      </c>
      <c r="O376" s="1">
        <v>6000</v>
      </c>
      <c r="P376" s="3" t="str">
        <f>IF(Table1[[#This Row],[Designation]]="Line Operator","Line Operator", "Other")</f>
        <v>Line Operator</v>
      </c>
    </row>
    <row r="377" spans="1:16" ht="15.75" customHeight="1" x14ac:dyDescent="0.25">
      <c r="A377" s="1" t="s">
        <v>788</v>
      </c>
      <c r="B377" s="1" t="s">
        <v>789</v>
      </c>
      <c r="C377" s="1" t="s">
        <v>17</v>
      </c>
      <c r="D377" s="1" t="s">
        <v>18</v>
      </c>
      <c r="E377" s="1" t="s">
        <v>75</v>
      </c>
      <c r="F377" s="1" t="s">
        <v>31</v>
      </c>
      <c r="G377" s="8">
        <v>45506</v>
      </c>
      <c r="H377" s="1">
        <v>45326</v>
      </c>
      <c r="I377" s="1" t="s">
        <v>21</v>
      </c>
      <c r="J377" s="1" t="s">
        <v>22</v>
      </c>
      <c r="K377" s="1" t="s">
        <v>23</v>
      </c>
      <c r="L377" s="1" t="s">
        <v>24</v>
      </c>
      <c r="M377" s="1" t="s">
        <v>25</v>
      </c>
      <c r="N377" s="1" t="s">
        <v>26</v>
      </c>
      <c r="O377" s="1">
        <v>6000</v>
      </c>
      <c r="P377" s="3" t="str">
        <f>IF(Table1[[#This Row],[Designation]]="Line Operator","Line Operator", "Other")</f>
        <v>Line Operator</v>
      </c>
    </row>
    <row r="378" spans="1:16" ht="15.75" customHeight="1" x14ac:dyDescent="0.25">
      <c r="A378" s="1" t="s">
        <v>790</v>
      </c>
      <c r="B378" s="1" t="s">
        <v>791</v>
      </c>
      <c r="C378" s="1" t="s">
        <v>17</v>
      </c>
      <c r="D378" s="1" t="s">
        <v>18</v>
      </c>
      <c r="E378" s="1" t="s">
        <v>75</v>
      </c>
      <c r="F378" s="1" t="s">
        <v>31</v>
      </c>
      <c r="G378" s="8">
        <v>45506</v>
      </c>
      <c r="H378" s="1">
        <v>45326</v>
      </c>
      <c r="I378" s="1" t="s">
        <v>21</v>
      </c>
      <c r="J378" s="1" t="s">
        <v>22</v>
      </c>
      <c r="K378" s="1" t="s">
        <v>38</v>
      </c>
      <c r="L378" s="1" t="s">
        <v>580</v>
      </c>
      <c r="M378" s="1" t="s">
        <v>47</v>
      </c>
      <c r="N378" s="1" t="s">
        <v>26</v>
      </c>
      <c r="O378" s="1">
        <v>6000</v>
      </c>
      <c r="P378" s="3" t="str">
        <f>IF(Table1[[#This Row],[Designation]]="Line Operator","Line Operator", "Other")</f>
        <v>Line Operator</v>
      </c>
    </row>
    <row r="379" spans="1:16" ht="15.75" customHeight="1" x14ac:dyDescent="0.25">
      <c r="A379" s="1" t="s">
        <v>792</v>
      </c>
      <c r="B379" s="1" t="s">
        <v>793</v>
      </c>
      <c r="C379" s="1" t="s">
        <v>36</v>
      </c>
      <c r="D379" s="1" t="s">
        <v>18</v>
      </c>
      <c r="E379" s="1" t="s">
        <v>75</v>
      </c>
      <c r="F379" s="1" t="s">
        <v>31</v>
      </c>
      <c r="G379" s="8">
        <v>45507</v>
      </c>
      <c r="H379" s="1">
        <v>45327</v>
      </c>
      <c r="I379" s="1" t="s">
        <v>21</v>
      </c>
      <c r="J379" s="1" t="s">
        <v>22</v>
      </c>
      <c r="K379" s="1" t="s">
        <v>38</v>
      </c>
      <c r="L379" s="1" t="s">
        <v>119</v>
      </c>
      <c r="M379" s="1" t="s">
        <v>25</v>
      </c>
      <c r="N379" s="1" t="s">
        <v>26</v>
      </c>
      <c r="O379" s="1">
        <v>6000</v>
      </c>
      <c r="P379" s="3" t="str">
        <f>IF(Table1[[#This Row],[Designation]]="Line Operator","Line Operator", "Other")</f>
        <v>Line Operator</v>
      </c>
    </row>
    <row r="380" spans="1:16" ht="15.75" customHeight="1" x14ac:dyDescent="0.25">
      <c r="A380" s="1" t="s">
        <v>794</v>
      </c>
      <c r="B380" s="1" t="s">
        <v>795</v>
      </c>
      <c r="C380" s="1" t="s">
        <v>205</v>
      </c>
      <c r="D380" s="1" t="s">
        <v>18</v>
      </c>
      <c r="E380" s="1" t="s">
        <v>75</v>
      </c>
      <c r="F380" s="1" t="s">
        <v>31</v>
      </c>
      <c r="G380" s="8">
        <v>45508</v>
      </c>
      <c r="H380" s="1">
        <v>45328</v>
      </c>
      <c r="I380" s="1" t="s">
        <v>81</v>
      </c>
      <c r="J380" s="1" t="s">
        <v>22</v>
      </c>
      <c r="K380" s="1" t="s">
        <v>115</v>
      </c>
      <c r="L380" s="1" t="s">
        <v>220</v>
      </c>
      <c r="M380" s="1" t="s">
        <v>25</v>
      </c>
      <c r="N380" s="1" t="s">
        <v>26</v>
      </c>
      <c r="O380" s="1">
        <v>6000</v>
      </c>
      <c r="P380" s="3" t="str">
        <f>IF(Table1[[#This Row],[Designation]]="Line Operator","Line Operator", "Other")</f>
        <v>Line Operator</v>
      </c>
    </row>
    <row r="381" spans="1:16" ht="15.75" customHeight="1" x14ac:dyDescent="0.25">
      <c r="A381" s="1" t="s">
        <v>796</v>
      </c>
      <c r="B381" s="1" t="s">
        <v>797</v>
      </c>
      <c r="C381" s="1" t="s">
        <v>36</v>
      </c>
      <c r="D381" s="1" t="s">
        <v>18</v>
      </c>
      <c r="E381" s="1" t="s">
        <v>75</v>
      </c>
      <c r="F381" s="1" t="s">
        <v>31</v>
      </c>
      <c r="G381" s="8">
        <v>45508</v>
      </c>
      <c r="H381" s="1">
        <v>45328</v>
      </c>
      <c r="I381" s="1" t="s">
        <v>21</v>
      </c>
      <c r="J381" s="1" t="s">
        <v>22</v>
      </c>
      <c r="K381" s="1" t="s">
        <v>58</v>
      </c>
      <c r="L381" s="1" t="s">
        <v>96</v>
      </c>
      <c r="M381" s="1" t="s">
        <v>47</v>
      </c>
      <c r="N381" s="1" t="s">
        <v>26</v>
      </c>
      <c r="O381" s="1">
        <v>6000</v>
      </c>
      <c r="P381" s="3" t="str">
        <f>IF(Table1[[#This Row],[Designation]]="Line Operator","Line Operator", "Other")</f>
        <v>Line Operator</v>
      </c>
    </row>
    <row r="382" spans="1:16" ht="15.75" customHeight="1" x14ac:dyDescent="0.25">
      <c r="A382" s="1" t="s">
        <v>798</v>
      </c>
      <c r="B382" s="1" t="s">
        <v>799</v>
      </c>
      <c r="C382" s="1" t="s">
        <v>44</v>
      </c>
      <c r="D382" s="1" t="s">
        <v>18</v>
      </c>
      <c r="E382" s="1" t="s">
        <v>75</v>
      </c>
      <c r="F382" s="1" t="s">
        <v>31</v>
      </c>
      <c r="G382" s="8">
        <v>45508</v>
      </c>
      <c r="H382" s="1">
        <v>45328</v>
      </c>
      <c r="I382" s="1" t="s">
        <v>21</v>
      </c>
      <c r="J382" s="1" t="s">
        <v>22</v>
      </c>
      <c r="K382" s="1" t="s">
        <v>32</v>
      </c>
      <c r="L382" s="1" t="s">
        <v>24</v>
      </c>
      <c r="M382" s="1" t="s">
        <v>25</v>
      </c>
      <c r="N382" s="1" t="s">
        <v>26</v>
      </c>
      <c r="O382" s="1">
        <v>6000</v>
      </c>
      <c r="P382" s="3" t="str">
        <f>IF(Table1[[#This Row],[Designation]]="Line Operator","Line Operator", "Other")</f>
        <v>Line Operator</v>
      </c>
    </row>
    <row r="383" spans="1:16" ht="15.75" customHeight="1" x14ac:dyDescent="0.25">
      <c r="A383" s="1" t="s">
        <v>800</v>
      </c>
      <c r="B383" s="1" t="s">
        <v>801</v>
      </c>
      <c r="C383" s="1" t="s">
        <v>36</v>
      </c>
      <c r="D383" s="1" t="s">
        <v>18</v>
      </c>
      <c r="E383" s="1" t="s">
        <v>75</v>
      </c>
      <c r="F383" s="1" t="s">
        <v>31</v>
      </c>
      <c r="G383" s="8">
        <v>45508</v>
      </c>
      <c r="H383" s="1">
        <v>45328</v>
      </c>
      <c r="I383" s="1" t="s">
        <v>21</v>
      </c>
      <c r="J383" s="1" t="s">
        <v>22</v>
      </c>
      <c r="K383" s="1" t="s">
        <v>38</v>
      </c>
      <c r="L383" s="1" t="s">
        <v>119</v>
      </c>
      <c r="M383" s="1" t="s">
        <v>25</v>
      </c>
      <c r="N383" s="1" t="s">
        <v>26</v>
      </c>
      <c r="O383" s="1">
        <v>6000</v>
      </c>
      <c r="P383" s="3" t="str">
        <f>IF(Table1[[#This Row],[Designation]]="Line Operator","Line Operator", "Other")</f>
        <v>Line Operator</v>
      </c>
    </row>
    <row r="384" spans="1:16" ht="15.75" customHeight="1" x14ac:dyDescent="0.25">
      <c r="A384" s="1" t="s">
        <v>802</v>
      </c>
      <c r="B384" s="1" t="s">
        <v>803</v>
      </c>
      <c r="C384" s="1" t="s">
        <v>579</v>
      </c>
      <c r="D384" s="1" t="s">
        <v>18</v>
      </c>
      <c r="E384" s="1" t="s">
        <v>75</v>
      </c>
      <c r="F384" s="1" t="s">
        <v>31</v>
      </c>
      <c r="G384" s="8">
        <v>45508</v>
      </c>
      <c r="H384" s="1">
        <v>45328</v>
      </c>
      <c r="I384" s="1" t="s">
        <v>21</v>
      </c>
      <c r="J384" s="1" t="s">
        <v>22</v>
      </c>
      <c r="K384" s="1" t="s">
        <v>58</v>
      </c>
      <c r="L384" s="1" t="s">
        <v>220</v>
      </c>
      <c r="M384" s="1" t="s">
        <v>25</v>
      </c>
      <c r="N384" s="1" t="s">
        <v>26</v>
      </c>
      <c r="O384" s="1">
        <v>6000</v>
      </c>
      <c r="P384" s="3" t="str">
        <f>IF(Table1[[#This Row],[Designation]]="Line Operator","Line Operator", "Other")</f>
        <v>Line Operator</v>
      </c>
    </row>
    <row r="385" spans="1:16" ht="15.75" customHeight="1" x14ac:dyDescent="0.25">
      <c r="A385" s="1" t="s">
        <v>804</v>
      </c>
      <c r="B385" s="1" t="s">
        <v>805</v>
      </c>
      <c r="C385" s="1" t="s">
        <v>17</v>
      </c>
      <c r="D385" s="1" t="s">
        <v>18</v>
      </c>
      <c r="E385" s="1" t="s">
        <v>75</v>
      </c>
      <c r="F385" s="1" t="s">
        <v>31</v>
      </c>
      <c r="G385" s="8">
        <v>45508</v>
      </c>
      <c r="H385" s="1">
        <v>45328</v>
      </c>
      <c r="I385" s="1" t="s">
        <v>21</v>
      </c>
      <c r="J385" s="1" t="s">
        <v>22</v>
      </c>
      <c r="K385" s="1" t="s">
        <v>148</v>
      </c>
      <c r="L385" s="1" t="s">
        <v>172</v>
      </c>
      <c r="M385" s="1" t="s">
        <v>51</v>
      </c>
      <c r="N385" s="1" t="s">
        <v>26</v>
      </c>
      <c r="O385" s="1">
        <v>6000</v>
      </c>
      <c r="P385" s="3" t="str">
        <f>IF(Table1[[#This Row],[Designation]]="Line Operator","Line Operator", "Other")</f>
        <v>Line Operator</v>
      </c>
    </row>
    <row r="386" spans="1:16" ht="15.75" customHeight="1" x14ac:dyDescent="0.25">
      <c r="A386" s="1" t="s">
        <v>806</v>
      </c>
      <c r="B386" s="1" t="s">
        <v>807</v>
      </c>
      <c r="C386" s="1" t="s">
        <v>17</v>
      </c>
      <c r="D386" s="1" t="s">
        <v>18</v>
      </c>
      <c r="E386" s="1" t="s">
        <v>75</v>
      </c>
      <c r="F386" s="1" t="s">
        <v>31</v>
      </c>
      <c r="G386" s="8">
        <v>45509</v>
      </c>
      <c r="H386" s="1">
        <v>45329</v>
      </c>
      <c r="I386" s="1" t="s">
        <v>81</v>
      </c>
      <c r="J386" s="1" t="s">
        <v>22</v>
      </c>
      <c r="K386" s="1" t="s">
        <v>23</v>
      </c>
      <c r="L386" s="1" t="s">
        <v>96</v>
      </c>
      <c r="M386" s="1" t="s">
        <v>47</v>
      </c>
      <c r="N386" s="1" t="s">
        <v>26</v>
      </c>
      <c r="O386" s="1">
        <v>6000</v>
      </c>
      <c r="P386" s="3" t="str">
        <f>IF(Table1[[#This Row],[Designation]]="Line Operator","Line Operator", "Other")</f>
        <v>Line Operator</v>
      </c>
    </row>
    <row r="387" spans="1:16" ht="15.75" customHeight="1" x14ac:dyDescent="0.25">
      <c r="A387" s="1" t="s">
        <v>808</v>
      </c>
      <c r="B387" s="1" t="s">
        <v>809</v>
      </c>
      <c r="C387" s="1" t="s">
        <v>36</v>
      </c>
      <c r="D387" s="1" t="s">
        <v>18</v>
      </c>
      <c r="E387" s="1" t="s">
        <v>75</v>
      </c>
      <c r="F387" s="1" t="s">
        <v>31</v>
      </c>
      <c r="G387" s="8">
        <v>45509</v>
      </c>
      <c r="H387" s="1">
        <v>45329</v>
      </c>
      <c r="I387" s="1" t="s">
        <v>21</v>
      </c>
      <c r="J387" s="1" t="s">
        <v>22</v>
      </c>
      <c r="K387" s="1" t="s">
        <v>72</v>
      </c>
      <c r="L387" s="1" t="s">
        <v>119</v>
      </c>
      <c r="M387" s="1" t="s">
        <v>25</v>
      </c>
      <c r="N387" s="1" t="s">
        <v>26</v>
      </c>
      <c r="O387" s="1">
        <v>6000</v>
      </c>
      <c r="P387" s="3" t="str">
        <f>IF(Table1[[#This Row],[Designation]]="Line Operator","Line Operator", "Other")</f>
        <v>Line Operator</v>
      </c>
    </row>
    <row r="388" spans="1:16" ht="15.75" customHeight="1" x14ac:dyDescent="0.25">
      <c r="A388" s="1" t="s">
        <v>810</v>
      </c>
      <c r="B388" s="1" t="s">
        <v>811</v>
      </c>
      <c r="C388" s="1" t="s">
        <v>44</v>
      </c>
      <c r="D388" s="1" t="s">
        <v>18</v>
      </c>
      <c r="E388" s="1" t="s">
        <v>75</v>
      </c>
      <c r="F388" s="1" t="s">
        <v>31</v>
      </c>
      <c r="G388" s="8">
        <v>45509</v>
      </c>
      <c r="H388" s="1">
        <v>45329</v>
      </c>
      <c r="I388" s="1" t="s">
        <v>21</v>
      </c>
      <c r="J388" s="1" t="s">
        <v>22</v>
      </c>
      <c r="K388" s="1" t="s">
        <v>23</v>
      </c>
      <c r="L388" s="1" t="s">
        <v>24</v>
      </c>
      <c r="M388" s="1" t="s">
        <v>25</v>
      </c>
      <c r="N388" s="1" t="s">
        <v>26</v>
      </c>
      <c r="O388" s="1">
        <v>6000</v>
      </c>
      <c r="P388" s="3" t="str">
        <f>IF(Table1[[#This Row],[Designation]]="Line Operator","Line Operator", "Other")</f>
        <v>Line Operator</v>
      </c>
    </row>
    <row r="389" spans="1:16" ht="15.75" customHeight="1" x14ac:dyDescent="0.25">
      <c r="A389" s="1" t="s">
        <v>812</v>
      </c>
      <c r="B389" s="1" t="s">
        <v>813</v>
      </c>
      <c r="C389" s="1" t="s">
        <v>36</v>
      </c>
      <c r="D389" s="1" t="s">
        <v>18</v>
      </c>
      <c r="E389" s="1" t="s">
        <v>75</v>
      </c>
      <c r="F389" s="1" t="s">
        <v>31</v>
      </c>
      <c r="G389" s="8">
        <v>45509</v>
      </c>
      <c r="H389" s="1">
        <v>45329</v>
      </c>
      <c r="I389" s="1" t="s">
        <v>21</v>
      </c>
      <c r="J389" s="1" t="s">
        <v>22</v>
      </c>
      <c r="K389" s="1" t="s">
        <v>23</v>
      </c>
      <c r="L389" s="1" t="s">
        <v>24</v>
      </c>
      <c r="M389" s="1" t="s">
        <v>25</v>
      </c>
      <c r="N389" s="1" t="s">
        <v>26</v>
      </c>
      <c r="O389" s="1">
        <v>6000</v>
      </c>
      <c r="P389" s="3" t="str">
        <f>IF(Table1[[#This Row],[Designation]]="Line Operator","Line Operator", "Other")</f>
        <v>Line Operator</v>
      </c>
    </row>
    <row r="390" spans="1:16" ht="15.75" customHeight="1" x14ac:dyDescent="0.25">
      <c r="A390" s="1" t="s">
        <v>814</v>
      </c>
      <c r="B390" s="1" t="s">
        <v>815</v>
      </c>
      <c r="C390" s="1" t="s">
        <v>36</v>
      </c>
      <c r="D390" s="1" t="s">
        <v>18</v>
      </c>
      <c r="E390" s="1" t="s">
        <v>75</v>
      </c>
      <c r="F390" s="1" t="s">
        <v>31</v>
      </c>
      <c r="G390" s="8">
        <v>45509</v>
      </c>
      <c r="H390" s="1">
        <v>45329</v>
      </c>
      <c r="I390" s="1" t="s">
        <v>81</v>
      </c>
      <c r="J390" s="1" t="s">
        <v>22</v>
      </c>
      <c r="K390" s="1" t="s">
        <v>23</v>
      </c>
      <c r="L390" s="1" t="s">
        <v>119</v>
      </c>
      <c r="M390" s="1" t="s">
        <v>25</v>
      </c>
      <c r="N390" s="1" t="s">
        <v>26</v>
      </c>
      <c r="O390" s="1">
        <v>6000</v>
      </c>
      <c r="P390" s="3" t="str">
        <f>IF(Table1[[#This Row],[Designation]]="Line Operator","Line Operator", "Other")</f>
        <v>Line Operator</v>
      </c>
    </row>
    <row r="391" spans="1:16" ht="15.75" customHeight="1" x14ac:dyDescent="0.25">
      <c r="A391" s="1" t="s">
        <v>816</v>
      </c>
      <c r="B391" s="1" t="s">
        <v>817</v>
      </c>
      <c r="C391" s="1" t="s">
        <v>17</v>
      </c>
      <c r="D391" s="1" t="s">
        <v>18</v>
      </c>
      <c r="E391" s="1" t="s">
        <v>75</v>
      </c>
      <c r="F391" s="1" t="s">
        <v>31</v>
      </c>
      <c r="G391" s="8">
        <v>45509</v>
      </c>
      <c r="H391" s="1">
        <v>45329</v>
      </c>
      <c r="I391" s="1" t="s">
        <v>21</v>
      </c>
      <c r="J391" s="1" t="s">
        <v>22</v>
      </c>
      <c r="K391" s="1" t="s">
        <v>32</v>
      </c>
      <c r="L391" s="1" t="s">
        <v>24</v>
      </c>
      <c r="M391" s="1" t="s">
        <v>25</v>
      </c>
      <c r="N391" s="1" t="s">
        <v>26</v>
      </c>
      <c r="O391" s="1">
        <v>6000</v>
      </c>
      <c r="P391" s="3" t="str">
        <f>IF(Table1[[#This Row],[Designation]]="Line Operator","Line Operator", "Other")</f>
        <v>Line Operator</v>
      </c>
    </row>
    <row r="392" spans="1:16" ht="15.75" customHeight="1" x14ac:dyDescent="0.25">
      <c r="A392" s="1" t="s">
        <v>818</v>
      </c>
      <c r="B392" s="1" t="s">
        <v>819</v>
      </c>
      <c r="C392" s="1" t="s">
        <v>17</v>
      </c>
      <c r="D392" s="1" t="s">
        <v>18</v>
      </c>
      <c r="E392" s="1" t="s">
        <v>75</v>
      </c>
      <c r="F392" s="1" t="s">
        <v>31</v>
      </c>
      <c r="G392" s="8">
        <v>45509</v>
      </c>
      <c r="H392" s="1">
        <v>45329</v>
      </c>
      <c r="I392" s="1" t="s">
        <v>21</v>
      </c>
      <c r="J392" s="1" t="s">
        <v>22</v>
      </c>
      <c r="K392" s="1" t="s">
        <v>38</v>
      </c>
      <c r="L392" s="1" t="s">
        <v>172</v>
      </c>
      <c r="M392" s="1" t="s">
        <v>51</v>
      </c>
      <c r="N392" s="1" t="s">
        <v>26</v>
      </c>
      <c r="O392" s="1">
        <v>6000</v>
      </c>
      <c r="P392" s="3" t="str">
        <f>IF(Table1[[#This Row],[Designation]]="Line Operator","Line Operator", "Other")</f>
        <v>Line Operator</v>
      </c>
    </row>
    <row r="393" spans="1:16" ht="15.75" customHeight="1" x14ac:dyDescent="0.25">
      <c r="A393" s="1" t="s">
        <v>820</v>
      </c>
      <c r="B393" s="1" t="s">
        <v>821</v>
      </c>
      <c r="C393" s="1" t="s">
        <v>17</v>
      </c>
      <c r="D393" s="1" t="s">
        <v>18</v>
      </c>
      <c r="E393" s="1" t="s">
        <v>75</v>
      </c>
      <c r="F393" s="1" t="s">
        <v>31</v>
      </c>
      <c r="G393" s="8">
        <v>45509</v>
      </c>
      <c r="H393" s="1">
        <v>45329</v>
      </c>
      <c r="I393" s="1" t="s">
        <v>21</v>
      </c>
      <c r="J393" s="1" t="s">
        <v>22</v>
      </c>
      <c r="K393" s="1" t="s">
        <v>23</v>
      </c>
      <c r="L393" s="1" t="s">
        <v>116</v>
      </c>
      <c r="M393" s="1" t="s">
        <v>47</v>
      </c>
      <c r="N393" s="1" t="s">
        <v>26</v>
      </c>
      <c r="O393" s="1">
        <v>6000</v>
      </c>
      <c r="P393" s="3" t="str">
        <f>IF(Table1[[#This Row],[Designation]]="Line Operator","Line Operator", "Other")</f>
        <v>Line Operator</v>
      </c>
    </row>
    <row r="394" spans="1:16" ht="15.75" customHeight="1" x14ac:dyDescent="0.25">
      <c r="A394" s="1" t="s">
        <v>822</v>
      </c>
      <c r="B394" s="1" t="s">
        <v>823</v>
      </c>
      <c r="C394" s="1" t="s">
        <v>36</v>
      </c>
      <c r="D394" s="1" t="s">
        <v>18</v>
      </c>
      <c r="E394" s="1" t="s">
        <v>75</v>
      </c>
      <c r="F394" s="1" t="s">
        <v>31</v>
      </c>
      <c r="G394" s="8">
        <v>45510</v>
      </c>
      <c r="H394" s="1">
        <v>45330</v>
      </c>
      <c r="I394" s="1" t="s">
        <v>81</v>
      </c>
      <c r="J394" s="1" t="s">
        <v>22</v>
      </c>
      <c r="K394" s="1" t="s">
        <v>38</v>
      </c>
      <c r="L394" s="1" t="s">
        <v>24</v>
      </c>
      <c r="M394" s="1" t="s">
        <v>25</v>
      </c>
      <c r="N394" s="1" t="s">
        <v>26</v>
      </c>
      <c r="O394" s="1">
        <v>6000</v>
      </c>
      <c r="P394" s="3" t="str">
        <f>IF(Table1[[#This Row],[Designation]]="Line Operator","Line Operator", "Other")</f>
        <v>Line Operator</v>
      </c>
    </row>
    <row r="395" spans="1:16" ht="15.75" customHeight="1" x14ac:dyDescent="0.25">
      <c r="A395" s="1" t="s">
        <v>824</v>
      </c>
      <c r="B395" s="1" t="s">
        <v>825</v>
      </c>
      <c r="C395" s="1" t="s">
        <v>205</v>
      </c>
      <c r="D395" s="1" t="s">
        <v>18</v>
      </c>
      <c r="E395" s="1" t="s">
        <v>75</v>
      </c>
      <c r="F395" s="1" t="s">
        <v>31</v>
      </c>
      <c r="G395" s="8">
        <v>45510</v>
      </c>
      <c r="H395" s="1">
        <v>45330</v>
      </c>
      <c r="I395" s="1" t="s">
        <v>21</v>
      </c>
      <c r="J395" s="1" t="s">
        <v>37</v>
      </c>
      <c r="K395" s="1" t="s">
        <v>32</v>
      </c>
      <c r="L395" s="1" t="s">
        <v>24</v>
      </c>
      <c r="M395" s="1" t="s">
        <v>25</v>
      </c>
      <c r="N395" s="1" t="s">
        <v>26</v>
      </c>
      <c r="O395" s="1">
        <v>6000</v>
      </c>
      <c r="P395" s="3" t="str">
        <f>IF(Table1[[#This Row],[Designation]]="Line Operator","Line Operator", "Other")</f>
        <v>Line Operator</v>
      </c>
    </row>
    <row r="396" spans="1:16" ht="15.75" customHeight="1" x14ac:dyDescent="0.25">
      <c r="A396" s="1" t="s">
        <v>826</v>
      </c>
      <c r="B396" s="1" t="s">
        <v>827</v>
      </c>
      <c r="C396" s="1" t="s">
        <v>36</v>
      </c>
      <c r="D396" s="1" t="s">
        <v>18</v>
      </c>
      <c r="E396" s="1" t="s">
        <v>75</v>
      </c>
      <c r="F396" s="1" t="s">
        <v>31</v>
      </c>
      <c r="G396" s="8">
        <v>45510</v>
      </c>
      <c r="H396" s="1">
        <v>45330</v>
      </c>
      <c r="I396" s="1" t="s">
        <v>81</v>
      </c>
      <c r="J396" s="1" t="s">
        <v>22</v>
      </c>
      <c r="K396" s="1" t="s">
        <v>38</v>
      </c>
      <c r="L396" s="1" t="s">
        <v>24</v>
      </c>
      <c r="M396" s="1" t="s">
        <v>25</v>
      </c>
      <c r="N396" s="1" t="s">
        <v>26</v>
      </c>
      <c r="O396" s="1">
        <v>6000</v>
      </c>
      <c r="P396" s="3" t="str">
        <f>IF(Table1[[#This Row],[Designation]]="Line Operator","Line Operator", "Other")</f>
        <v>Line Operator</v>
      </c>
    </row>
    <row r="397" spans="1:16" ht="15.75" customHeight="1" x14ac:dyDescent="0.25">
      <c r="A397" s="1" t="s">
        <v>828</v>
      </c>
      <c r="B397" s="1" t="s">
        <v>829</v>
      </c>
      <c r="C397" s="1" t="s">
        <v>44</v>
      </c>
      <c r="D397" s="1" t="s">
        <v>18</v>
      </c>
      <c r="E397" s="1" t="s">
        <v>75</v>
      </c>
      <c r="F397" s="1" t="s">
        <v>31</v>
      </c>
      <c r="G397" s="8">
        <v>45512</v>
      </c>
      <c r="H397" s="1">
        <v>45332</v>
      </c>
      <c r="I397" s="1" t="s">
        <v>81</v>
      </c>
      <c r="J397" s="1" t="s">
        <v>22</v>
      </c>
      <c r="K397" s="1" t="s">
        <v>23</v>
      </c>
      <c r="L397" s="1" t="s">
        <v>225</v>
      </c>
      <c r="M397" s="1" t="s">
        <v>47</v>
      </c>
      <c r="N397" s="1" t="s">
        <v>26</v>
      </c>
      <c r="O397" s="1">
        <v>6000</v>
      </c>
      <c r="P397" s="3" t="str">
        <f>IF(Table1[[#This Row],[Designation]]="Line Operator","Line Operator", "Other")</f>
        <v>Line Operator</v>
      </c>
    </row>
    <row r="398" spans="1:16" ht="15.75" customHeight="1" x14ac:dyDescent="0.25">
      <c r="A398" s="1" t="s">
        <v>830</v>
      </c>
      <c r="B398" s="1" t="s">
        <v>831</v>
      </c>
      <c r="C398" s="1" t="s">
        <v>36</v>
      </c>
      <c r="D398" s="1" t="s">
        <v>18</v>
      </c>
      <c r="E398" s="1" t="s">
        <v>75</v>
      </c>
      <c r="F398" s="1" t="s">
        <v>31</v>
      </c>
      <c r="G398" s="8">
        <v>45512</v>
      </c>
      <c r="H398" s="1">
        <v>45332</v>
      </c>
      <c r="I398" s="1" t="s">
        <v>21</v>
      </c>
      <c r="J398" s="1" t="s">
        <v>22</v>
      </c>
      <c r="K398" s="1" t="s">
        <v>32</v>
      </c>
      <c r="L398" s="1" t="s">
        <v>96</v>
      </c>
      <c r="M398" s="1" t="s">
        <v>47</v>
      </c>
      <c r="N398" s="1" t="s">
        <v>26</v>
      </c>
      <c r="O398" s="1">
        <v>6000</v>
      </c>
      <c r="P398" s="3" t="str">
        <f>IF(Table1[[#This Row],[Designation]]="Line Operator","Line Operator", "Other")</f>
        <v>Line Operator</v>
      </c>
    </row>
    <row r="399" spans="1:16" ht="15.75" customHeight="1" x14ac:dyDescent="0.25">
      <c r="A399" s="1" t="s">
        <v>832</v>
      </c>
      <c r="B399" s="1" t="s">
        <v>833</v>
      </c>
      <c r="C399" s="1" t="s">
        <v>579</v>
      </c>
      <c r="D399" s="1" t="s">
        <v>180</v>
      </c>
      <c r="E399" s="1" t="s">
        <v>30</v>
      </c>
      <c r="F399" s="1" t="s">
        <v>31</v>
      </c>
      <c r="G399" s="8">
        <v>45513</v>
      </c>
      <c r="H399" s="1">
        <v>45333</v>
      </c>
      <c r="I399" s="1" t="s">
        <v>21</v>
      </c>
      <c r="J399" s="1" t="s">
        <v>37</v>
      </c>
      <c r="K399" s="1" t="s">
        <v>38</v>
      </c>
      <c r="L399" s="1" t="s">
        <v>834</v>
      </c>
      <c r="M399" s="1" t="s">
        <v>51</v>
      </c>
      <c r="N399" s="1" t="s">
        <v>26</v>
      </c>
      <c r="O399" s="1">
        <v>6000</v>
      </c>
      <c r="P399" s="3" t="str">
        <f>IF(Table1[[#This Row],[Designation]]="Line Operator","Line Operator", "Other")</f>
        <v>Other</v>
      </c>
    </row>
    <row r="400" spans="1:16" ht="15.75" customHeight="1" x14ac:dyDescent="0.25">
      <c r="A400" s="1" t="s">
        <v>835</v>
      </c>
      <c r="B400" s="1" t="s">
        <v>836</v>
      </c>
      <c r="C400" s="1" t="s">
        <v>17</v>
      </c>
      <c r="D400" s="1" t="s">
        <v>18</v>
      </c>
      <c r="E400" s="1" t="s">
        <v>75</v>
      </c>
      <c r="F400" s="1" t="s">
        <v>31</v>
      </c>
      <c r="G400" s="8">
        <v>45514</v>
      </c>
      <c r="H400" s="1">
        <v>45334</v>
      </c>
      <c r="I400" s="1" t="s">
        <v>21</v>
      </c>
      <c r="J400" s="1" t="s">
        <v>22</v>
      </c>
      <c r="K400" s="1" t="s">
        <v>58</v>
      </c>
      <c r="L400" s="1" t="s">
        <v>116</v>
      </c>
      <c r="M400" s="1" t="s">
        <v>47</v>
      </c>
      <c r="N400" s="1" t="s">
        <v>26</v>
      </c>
      <c r="O400" s="1">
        <v>6000</v>
      </c>
      <c r="P400" s="3" t="str">
        <f>IF(Table1[[#This Row],[Designation]]="Line Operator","Line Operator", "Other")</f>
        <v>Line Operator</v>
      </c>
    </row>
    <row r="401" spans="1:16" ht="15.75" customHeight="1" x14ac:dyDescent="0.25">
      <c r="A401" s="1" t="s">
        <v>837</v>
      </c>
      <c r="B401" s="1" t="s">
        <v>838</v>
      </c>
      <c r="C401" s="1" t="s">
        <v>17</v>
      </c>
      <c r="D401" s="1" t="s">
        <v>18</v>
      </c>
      <c r="E401" s="1" t="s">
        <v>75</v>
      </c>
      <c r="F401" s="1" t="s">
        <v>31</v>
      </c>
      <c r="G401" s="8">
        <v>45515</v>
      </c>
      <c r="H401" s="1">
        <v>45335</v>
      </c>
      <c r="I401" s="1" t="s">
        <v>81</v>
      </c>
      <c r="J401" s="1" t="s">
        <v>22</v>
      </c>
      <c r="K401" s="1" t="s">
        <v>517</v>
      </c>
      <c r="L401" s="1" t="s">
        <v>96</v>
      </c>
      <c r="M401" s="1" t="s">
        <v>47</v>
      </c>
      <c r="N401" s="1" t="s">
        <v>26</v>
      </c>
      <c r="O401" s="1">
        <v>6000</v>
      </c>
      <c r="P401" s="3" t="str">
        <f>IF(Table1[[#This Row],[Designation]]="Line Operator","Line Operator", "Other")</f>
        <v>Line Operator</v>
      </c>
    </row>
    <row r="402" spans="1:16" ht="15.75" customHeight="1" x14ac:dyDescent="0.25">
      <c r="A402" s="1" t="s">
        <v>839</v>
      </c>
      <c r="B402" s="1" t="s">
        <v>564</v>
      </c>
      <c r="C402" s="1" t="s">
        <v>36</v>
      </c>
      <c r="D402" s="1" t="s">
        <v>18</v>
      </c>
      <c r="E402" s="1" t="s">
        <v>75</v>
      </c>
      <c r="F402" s="1" t="s">
        <v>31</v>
      </c>
      <c r="G402" s="8">
        <v>45517</v>
      </c>
      <c r="H402" s="1">
        <v>45337</v>
      </c>
      <c r="I402" s="1" t="s">
        <v>21</v>
      </c>
      <c r="J402" s="1" t="s">
        <v>22</v>
      </c>
      <c r="K402" s="1" t="s">
        <v>38</v>
      </c>
      <c r="L402" s="1" t="s">
        <v>225</v>
      </c>
      <c r="M402" s="1" t="s">
        <v>47</v>
      </c>
      <c r="N402" s="1" t="s">
        <v>26</v>
      </c>
      <c r="O402" s="1">
        <v>6000</v>
      </c>
      <c r="P402" s="3" t="str">
        <f>IF(Table1[[#This Row],[Designation]]="Line Operator","Line Operator", "Other")</f>
        <v>Line Operator</v>
      </c>
    </row>
    <row r="403" spans="1:16" ht="15.75" customHeight="1" x14ac:dyDescent="0.25">
      <c r="A403" s="1" t="s">
        <v>840</v>
      </c>
      <c r="B403" s="1" t="s">
        <v>841</v>
      </c>
      <c r="C403" s="1" t="s">
        <v>44</v>
      </c>
      <c r="D403" s="1" t="s">
        <v>18</v>
      </c>
      <c r="E403" s="1" t="s">
        <v>75</v>
      </c>
      <c r="F403" s="1" t="s">
        <v>31</v>
      </c>
      <c r="G403" s="8">
        <v>45517</v>
      </c>
      <c r="H403" s="1">
        <v>45337</v>
      </c>
      <c r="I403" s="1" t="s">
        <v>81</v>
      </c>
      <c r="J403" s="1" t="s">
        <v>22</v>
      </c>
      <c r="K403" s="1" t="s">
        <v>38</v>
      </c>
      <c r="L403" s="1" t="s">
        <v>24</v>
      </c>
      <c r="M403" s="1" t="s">
        <v>25</v>
      </c>
      <c r="N403" s="1" t="s">
        <v>26</v>
      </c>
      <c r="O403" s="1">
        <v>6000</v>
      </c>
      <c r="P403" s="3" t="str">
        <f>IF(Table1[[#This Row],[Designation]]="Line Operator","Line Operator", "Other")</f>
        <v>Line Operator</v>
      </c>
    </row>
    <row r="404" spans="1:16" ht="15.75" customHeight="1" x14ac:dyDescent="0.25">
      <c r="A404" s="1" t="s">
        <v>842</v>
      </c>
      <c r="B404" s="1" t="s">
        <v>843</v>
      </c>
      <c r="C404" s="1" t="s">
        <v>36</v>
      </c>
      <c r="D404" s="1" t="s">
        <v>18</v>
      </c>
      <c r="E404" s="1" t="s">
        <v>75</v>
      </c>
      <c r="F404" s="1" t="s">
        <v>31</v>
      </c>
      <c r="G404" s="8">
        <v>45517</v>
      </c>
      <c r="H404" s="1">
        <v>45337</v>
      </c>
      <c r="I404" s="1" t="s">
        <v>81</v>
      </c>
      <c r="J404" s="1" t="s">
        <v>22</v>
      </c>
      <c r="K404" s="1" t="s">
        <v>32</v>
      </c>
      <c r="L404" s="1" t="s">
        <v>465</v>
      </c>
      <c r="M404" s="1" t="s">
        <v>51</v>
      </c>
      <c r="N404" s="1" t="s">
        <v>26</v>
      </c>
      <c r="O404" s="1">
        <v>6000</v>
      </c>
      <c r="P404" s="3" t="str">
        <f>IF(Table1[[#This Row],[Designation]]="Line Operator","Line Operator", "Other")</f>
        <v>Line Operator</v>
      </c>
    </row>
    <row r="405" spans="1:16" ht="15.75" customHeight="1" x14ac:dyDescent="0.25">
      <c r="A405" s="1" t="s">
        <v>844</v>
      </c>
      <c r="B405" s="1" t="s">
        <v>845</v>
      </c>
      <c r="C405" s="1" t="s">
        <v>36</v>
      </c>
      <c r="D405" s="1" t="s">
        <v>18</v>
      </c>
      <c r="E405" s="1" t="s">
        <v>75</v>
      </c>
      <c r="F405" s="1" t="s">
        <v>31</v>
      </c>
      <c r="G405" s="8">
        <v>45517</v>
      </c>
      <c r="H405" s="1">
        <v>45337</v>
      </c>
      <c r="I405" s="1" t="s">
        <v>81</v>
      </c>
      <c r="J405" s="1" t="s">
        <v>22</v>
      </c>
      <c r="K405" s="1" t="s">
        <v>23</v>
      </c>
      <c r="L405" s="1" t="s">
        <v>24</v>
      </c>
      <c r="M405" s="1" t="s">
        <v>25</v>
      </c>
      <c r="N405" s="1" t="s">
        <v>26</v>
      </c>
      <c r="O405" s="1">
        <v>30000</v>
      </c>
      <c r="P405" s="3" t="str">
        <f>IF(Table1[[#This Row],[Designation]]="Line Operator","Line Operator", "Other")</f>
        <v>Line Operator</v>
      </c>
    </row>
    <row r="406" spans="1:16" ht="15.75" customHeight="1" x14ac:dyDescent="0.25">
      <c r="A406" s="1" t="s">
        <v>846</v>
      </c>
      <c r="B406" s="1" t="s">
        <v>847</v>
      </c>
      <c r="C406" s="1" t="s">
        <v>17</v>
      </c>
      <c r="D406" s="1" t="s">
        <v>18</v>
      </c>
      <c r="E406" s="1" t="s">
        <v>75</v>
      </c>
      <c r="F406" s="1" t="s">
        <v>31</v>
      </c>
      <c r="G406" s="8">
        <v>45517</v>
      </c>
      <c r="H406" s="1">
        <v>45337</v>
      </c>
      <c r="I406" s="1" t="s">
        <v>81</v>
      </c>
      <c r="J406" s="1" t="s">
        <v>22</v>
      </c>
      <c r="K406" s="1" t="s">
        <v>32</v>
      </c>
      <c r="L406" s="1" t="s">
        <v>225</v>
      </c>
      <c r="M406" s="1" t="s">
        <v>47</v>
      </c>
      <c r="N406" s="1" t="s">
        <v>26</v>
      </c>
      <c r="O406" s="1">
        <v>30000</v>
      </c>
      <c r="P406" s="3" t="str">
        <f>IF(Table1[[#This Row],[Designation]]="Line Operator","Line Operator", "Other")</f>
        <v>Line Operator</v>
      </c>
    </row>
    <row r="407" spans="1:16" ht="15.75" customHeight="1" x14ac:dyDescent="0.25">
      <c r="A407" s="1" t="s">
        <v>848</v>
      </c>
      <c r="B407" s="1" t="s">
        <v>849</v>
      </c>
      <c r="C407" s="1" t="s">
        <v>44</v>
      </c>
      <c r="D407" s="1" t="s">
        <v>18</v>
      </c>
      <c r="E407" s="1" t="s">
        <v>75</v>
      </c>
      <c r="F407" s="1" t="s">
        <v>31</v>
      </c>
      <c r="G407" s="8">
        <v>45517</v>
      </c>
      <c r="H407" s="1">
        <v>45337</v>
      </c>
      <c r="I407" s="1" t="s">
        <v>81</v>
      </c>
      <c r="J407" s="1" t="s">
        <v>22</v>
      </c>
      <c r="K407" s="1" t="s">
        <v>23</v>
      </c>
      <c r="L407" s="1" t="s">
        <v>24</v>
      </c>
      <c r="M407" s="1" t="s">
        <v>25</v>
      </c>
      <c r="N407" s="1" t="s">
        <v>26</v>
      </c>
      <c r="O407" s="1">
        <v>30000</v>
      </c>
      <c r="P407" s="3" t="str">
        <f>IF(Table1[[#This Row],[Designation]]="Line Operator","Line Operator", "Other")</f>
        <v>Line Operator</v>
      </c>
    </row>
    <row r="408" spans="1:16" ht="15.75" customHeight="1" x14ac:dyDescent="0.25">
      <c r="A408" s="1" t="s">
        <v>850</v>
      </c>
      <c r="B408" s="1" t="s">
        <v>851</v>
      </c>
      <c r="C408" s="1" t="s">
        <v>44</v>
      </c>
      <c r="D408" s="1" t="s">
        <v>18</v>
      </c>
      <c r="E408" s="1" t="s">
        <v>75</v>
      </c>
      <c r="F408" s="1" t="s">
        <v>31</v>
      </c>
      <c r="G408" s="8">
        <v>45517</v>
      </c>
      <c r="H408" s="1">
        <v>45337</v>
      </c>
      <c r="I408" s="1" t="s">
        <v>21</v>
      </c>
      <c r="J408" s="1" t="s">
        <v>22</v>
      </c>
      <c r="K408" s="1" t="s">
        <v>23</v>
      </c>
      <c r="L408" s="1" t="s">
        <v>24</v>
      </c>
      <c r="M408" s="1" t="s">
        <v>25</v>
      </c>
      <c r="N408" s="1" t="s">
        <v>26</v>
      </c>
      <c r="O408" s="1">
        <v>30000</v>
      </c>
      <c r="P408" s="3" t="str">
        <f>IF(Table1[[#This Row],[Designation]]="Line Operator","Line Operator", "Other")</f>
        <v>Line Operator</v>
      </c>
    </row>
    <row r="409" spans="1:16" ht="15.75" customHeight="1" x14ac:dyDescent="0.25">
      <c r="A409" s="1" t="s">
        <v>852</v>
      </c>
      <c r="B409" s="1" t="s">
        <v>853</v>
      </c>
      <c r="C409" s="1" t="s">
        <v>36</v>
      </c>
      <c r="D409" s="1" t="s">
        <v>18</v>
      </c>
      <c r="E409" s="1" t="s">
        <v>75</v>
      </c>
      <c r="F409" s="1" t="s">
        <v>31</v>
      </c>
      <c r="G409" s="8">
        <v>45519</v>
      </c>
      <c r="H409" s="1">
        <v>45339</v>
      </c>
      <c r="I409" s="1" t="s">
        <v>21</v>
      </c>
      <c r="J409" s="1" t="s">
        <v>22</v>
      </c>
      <c r="K409" s="1" t="s">
        <v>32</v>
      </c>
      <c r="L409" s="1" t="s">
        <v>24</v>
      </c>
      <c r="M409" s="1" t="s">
        <v>25</v>
      </c>
      <c r="N409" s="1" t="s">
        <v>26</v>
      </c>
      <c r="O409" s="1">
        <v>30000</v>
      </c>
      <c r="P409" s="3" t="str">
        <f>IF(Table1[[#This Row],[Designation]]="Line Operator","Line Operator", "Other")</f>
        <v>Line Operator</v>
      </c>
    </row>
    <row r="410" spans="1:16" ht="15.75" customHeight="1" x14ac:dyDescent="0.25">
      <c r="A410" s="1" t="s">
        <v>854</v>
      </c>
      <c r="B410" s="1" t="s">
        <v>855</v>
      </c>
      <c r="C410" s="1" t="s">
        <v>36</v>
      </c>
      <c r="D410" s="1" t="s">
        <v>18</v>
      </c>
      <c r="E410" s="1" t="s">
        <v>75</v>
      </c>
      <c r="F410" s="1" t="s">
        <v>31</v>
      </c>
      <c r="G410" s="8">
        <v>45535</v>
      </c>
      <c r="H410" s="1">
        <v>45355</v>
      </c>
      <c r="I410" s="1" t="s">
        <v>21</v>
      </c>
      <c r="J410" s="1" t="s">
        <v>22</v>
      </c>
      <c r="K410" s="1" t="s">
        <v>38</v>
      </c>
      <c r="L410" s="1" t="s">
        <v>24</v>
      </c>
      <c r="M410" s="1" t="s">
        <v>25</v>
      </c>
      <c r="N410" s="1" t="s">
        <v>26</v>
      </c>
      <c r="O410" s="1">
        <v>30000</v>
      </c>
      <c r="P410" s="3" t="str">
        <f>IF(Table1[[#This Row],[Designation]]="Line Operator","Line Operator", "Other")</f>
        <v>Line Operator</v>
      </c>
    </row>
    <row r="411" spans="1:16" ht="15.75" customHeight="1" x14ac:dyDescent="0.25">
      <c r="A411" s="1" t="s">
        <v>856</v>
      </c>
      <c r="B411" s="1" t="s">
        <v>857</v>
      </c>
      <c r="C411" s="1" t="s">
        <v>29</v>
      </c>
      <c r="D411" s="1" t="s">
        <v>858</v>
      </c>
      <c r="E411" s="1" t="s">
        <v>19</v>
      </c>
      <c r="F411" s="1" t="s">
        <v>31</v>
      </c>
      <c r="G411" s="8">
        <v>45579</v>
      </c>
      <c r="H411" s="1">
        <v>45399</v>
      </c>
      <c r="I411" s="1" t="s">
        <v>21</v>
      </c>
      <c r="J411" s="1" t="s">
        <v>22</v>
      </c>
      <c r="K411" s="1" t="s">
        <v>23</v>
      </c>
      <c r="L411" s="1" t="s">
        <v>308</v>
      </c>
      <c r="M411" s="1" t="s">
        <v>40</v>
      </c>
      <c r="N411" s="1" t="s">
        <v>26</v>
      </c>
      <c r="O411" s="1">
        <v>30000</v>
      </c>
      <c r="P411" s="3" t="str">
        <f>IF(Table1[[#This Row],[Designation]]="Line Operator","Line Operator", "Other")</f>
        <v>Other</v>
      </c>
    </row>
    <row r="412" spans="1:16" ht="15.75" customHeight="1" x14ac:dyDescent="0.25">
      <c r="A412" s="1" t="s">
        <v>859</v>
      </c>
      <c r="B412" s="1" t="s">
        <v>860</v>
      </c>
      <c r="C412" s="1" t="s">
        <v>44</v>
      </c>
      <c r="D412" s="1" t="s">
        <v>175</v>
      </c>
      <c r="E412" s="1" t="s">
        <v>30</v>
      </c>
      <c r="F412" s="1" t="s">
        <v>31</v>
      </c>
      <c r="G412" s="8">
        <v>45594</v>
      </c>
      <c r="H412" s="1">
        <v>45414</v>
      </c>
      <c r="I412" s="1" t="s">
        <v>21</v>
      </c>
      <c r="J412" s="1" t="s">
        <v>37</v>
      </c>
      <c r="K412" s="1" t="s">
        <v>38</v>
      </c>
      <c r="L412" s="1" t="s">
        <v>861</v>
      </c>
      <c r="M412" s="1" t="s">
        <v>102</v>
      </c>
      <c r="N412" s="1" t="s">
        <v>26</v>
      </c>
      <c r="O412" s="1">
        <v>30000</v>
      </c>
      <c r="P412" s="3" t="str">
        <f>IF(Table1[[#This Row],[Designation]]="Line Operator","Line Operator", "Other")</f>
        <v>Other</v>
      </c>
    </row>
    <row r="413" spans="1:16" ht="15.75" customHeight="1" x14ac:dyDescent="0.25"/>
    <row r="414" spans="1:16" ht="15.75" customHeight="1" x14ac:dyDescent="0.25"/>
    <row r="415" spans="1:16" ht="15.75" customHeight="1" x14ac:dyDescent="0.25"/>
    <row r="416" spans="1: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323E19B-CB97-4674-BDFD-E604BE27683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KPIs</vt:lpstr>
      <vt:lpstr>Data</vt:lpstr>
      <vt:lpstr>HR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Anisur Rahman</dc:creator>
  <cp:lastModifiedBy>Maruf Hossain</cp:lastModifiedBy>
  <dcterms:created xsi:type="dcterms:W3CDTF">2015-06-05T18:17:20Z</dcterms:created>
  <dcterms:modified xsi:type="dcterms:W3CDTF">2026-03-20T18:45:41Z</dcterms:modified>
</cp:coreProperties>
</file>